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\Eclipse\src\sem\gen\"/>
    </mc:Choice>
  </mc:AlternateContent>
  <xr:revisionPtr revIDLastSave="2" documentId="7E7B46DBD9961BE0E14E968E50969326AC4C8355" xr6:coauthVersionLast="21" xr6:coauthVersionMax="21" xr10:uidLastSave="{DA2FEA5D-1EBC-4DFC-BB21-0A2AE0B1E074}"/>
  <bookViews>
    <workbookView xWindow="0" yWindow="0" windowWidth="28800" windowHeight="13635" activeTab="3" xr2:uid="{00000000-000D-0000-FFFF-FFFF00000000}"/>
  </bookViews>
  <sheets>
    <sheet name="Calcs" sheetId="6" r:id="rId1"/>
    <sheet name="Script-Zoom" sheetId="4" r:id="rId2"/>
    <sheet name="Exposure list" sheetId="7" r:id="rId3"/>
    <sheet name="Script-Wide" sheetId="8" r:id="rId4"/>
  </sheets>
  <definedNames>
    <definedName name="CAM1ID">Calcs!$B$2</definedName>
    <definedName name="Cam2ID">Calcs!$B$3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8" l="1"/>
  <c r="D23" i="8"/>
  <c r="E23" i="8"/>
  <c r="F23" i="8"/>
  <c r="G23" i="8"/>
  <c r="H23" i="8"/>
  <c r="I23" i="8"/>
  <c r="L23" i="8"/>
  <c r="M23" i="8"/>
  <c r="C24" i="8"/>
  <c r="D24" i="8"/>
  <c r="E24" i="8"/>
  <c r="F24" i="8"/>
  <c r="G24" i="8"/>
  <c r="H24" i="8"/>
  <c r="I24" i="8"/>
  <c r="L24" i="8"/>
  <c r="M24" i="8"/>
  <c r="C25" i="8"/>
  <c r="D25" i="8"/>
  <c r="E25" i="8"/>
  <c r="F25" i="8"/>
  <c r="G25" i="8"/>
  <c r="H25" i="8"/>
  <c r="I25" i="8"/>
  <c r="L25" i="8"/>
  <c r="M25" i="8"/>
  <c r="C8" i="8"/>
  <c r="D8" i="8"/>
  <c r="E8" i="8"/>
  <c r="F8" i="8"/>
  <c r="G8" i="8"/>
  <c r="H8" i="8"/>
  <c r="I8" i="8"/>
  <c r="L8" i="8"/>
  <c r="M8" i="8"/>
  <c r="C9" i="8"/>
  <c r="D9" i="8"/>
  <c r="E9" i="8"/>
  <c r="F9" i="8"/>
  <c r="G9" i="8"/>
  <c r="H9" i="8"/>
  <c r="I9" i="8"/>
  <c r="L9" i="8"/>
  <c r="M9" i="8"/>
  <c r="C10" i="8"/>
  <c r="D10" i="8"/>
  <c r="E10" i="8"/>
  <c r="F10" i="8"/>
  <c r="G10" i="8"/>
  <c r="H10" i="8"/>
  <c r="I10" i="8"/>
  <c r="L10" i="8"/>
  <c r="M10" i="8"/>
  <c r="C11" i="8"/>
  <c r="D11" i="8"/>
  <c r="E11" i="8"/>
  <c r="F11" i="8"/>
  <c r="G11" i="8"/>
  <c r="H11" i="8"/>
  <c r="I11" i="8"/>
  <c r="L11" i="8"/>
  <c r="M11" i="8"/>
  <c r="C12" i="8"/>
  <c r="D12" i="8"/>
  <c r="E12" i="8"/>
  <c r="F12" i="8"/>
  <c r="G12" i="8"/>
  <c r="H12" i="8"/>
  <c r="I12" i="8"/>
  <c r="L12" i="8"/>
  <c r="M12" i="8"/>
  <c r="C13" i="8"/>
  <c r="D13" i="8"/>
  <c r="E13" i="8"/>
  <c r="F13" i="8"/>
  <c r="G13" i="8"/>
  <c r="H13" i="8"/>
  <c r="I13" i="8"/>
  <c r="L13" i="8"/>
  <c r="M13" i="8"/>
  <c r="C14" i="8"/>
  <c r="D14" i="8"/>
  <c r="E14" i="8"/>
  <c r="F14" i="8"/>
  <c r="G14" i="8"/>
  <c r="H14" i="8"/>
  <c r="I14" i="8"/>
  <c r="L14" i="8"/>
  <c r="M14" i="8"/>
  <c r="C15" i="8"/>
  <c r="D15" i="8"/>
  <c r="E15" i="8"/>
  <c r="F15" i="8"/>
  <c r="G15" i="8"/>
  <c r="H15" i="8"/>
  <c r="I15" i="8"/>
  <c r="L15" i="8"/>
  <c r="M15" i="8"/>
  <c r="C16" i="8"/>
  <c r="D16" i="8"/>
  <c r="E16" i="8"/>
  <c r="F16" i="8"/>
  <c r="G16" i="8"/>
  <c r="H16" i="8"/>
  <c r="I16" i="8"/>
  <c r="L16" i="8"/>
  <c r="M16" i="8"/>
  <c r="C17" i="8"/>
  <c r="D17" i="8"/>
  <c r="E17" i="8"/>
  <c r="F17" i="8"/>
  <c r="G17" i="8"/>
  <c r="H17" i="8"/>
  <c r="I17" i="8"/>
  <c r="L17" i="8"/>
  <c r="M17" i="8"/>
  <c r="C18" i="8"/>
  <c r="D18" i="8"/>
  <c r="E18" i="8"/>
  <c r="F18" i="8"/>
  <c r="G18" i="8"/>
  <c r="H18" i="8"/>
  <c r="I18" i="8"/>
  <c r="L18" i="8"/>
  <c r="M18" i="8"/>
  <c r="C19" i="8"/>
  <c r="D19" i="8"/>
  <c r="E19" i="8"/>
  <c r="F19" i="8"/>
  <c r="G19" i="8"/>
  <c r="H19" i="8"/>
  <c r="I19" i="8"/>
  <c r="L19" i="8"/>
  <c r="M19" i="8"/>
  <c r="C20" i="8"/>
  <c r="D20" i="8"/>
  <c r="E20" i="8"/>
  <c r="F20" i="8"/>
  <c r="G20" i="8"/>
  <c r="H20" i="8"/>
  <c r="I20" i="8"/>
  <c r="L20" i="8"/>
  <c r="M20" i="8"/>
  <c r="C21" i="8"/>
  <c r="D21" i="8"/>
  <c r="E21" i="8"/>
  <c r="F21" i="8"/>
  <c r="G21" i="8"/>
  <c r="H21" i="8"/>
  <c r="I21" i="8"/>
  <c r="L21" i="8"/>
  <c r="M21" i="8"/>
  <c r="C22" i="8"/>
  <c r="D22" i="8"/>
  <c r="E22" i="8"/>
  <c r="F22" i="8"/>
  <c r="G22" i="8"/>
  <c r="H22" i="8"/>
  <c r="I22" i="8"/>
  <c r="L22" i="8"/>
  <c r="M22" i="8"/>
  <c r="M7" i="8"/>
  <c r="L7" i="8"/>
  <c r="I7" i="8"/>
  <c r="H7" i="8"/>
  <c r="G7" i="8"/>
  <c r="F7" i="8"/>
  <c r="E7" i="8"/>
  <c r="D7" i="8"/>
  <c r="C7" i="8"/>
  <c r="H129" i="6"/>
  <c r="H128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32" i="6"/>
  <c r="F150" i="6"/>
  <c r="G150" i="6"/>
  <c r="H150" i="6"/>
  <c r="I150" i="6"/>
  <c r="K150" i="6"/>
  <c r="L150" i="6" s="1"/>
  <c r="K133" i="6"/>
  <c r="G132" i="6"/>
  <c r="H132" i="6"/>
  <c r="I132" i="6"/>
  <c r="G133" i="6"/>
  <c r="H133" i="6"/>
  <c r="I133" i="6"/>
  <c r="G134" i="6"/>
  <c r="H134" i="6"/>
  <c r="I134" i="6"/>
  <c r="G135" i="6"/>
  <c r="H135" i="6"/>
  <c r="I135" i="6"/>
  <c r="G136" i="6"/>
  <c r="H136" i="6"/>
  <c r="I136" i="6"/>
  <c r="G137" i="6"/>
  <c r="H137" i="6"/>
  <c r="I137" i="6"/>
  <c r="G138" i="6"/>
  <c r="H138" i="6"/>
  <c r="I138" i="6"/>
  <c r="G139" i="6"/>
  <c r="H139" i="6"/>
  <c r="I139" i="6"/>
  <c r="G140" i="6"/>
  <c r="H140" i="6"/>
  <c r="I140" i="6"/>
  <c r="G141" i="6"/>
  <c r="H141" i="6"/>
  <c r="I141" i="6"/>
  <c r="G142" i="6"/>
  <c r="H142" i="6"/>
  <c r="I142" i="6"/>
  <c r="G143" i="6"/>
  <c r="H143" i="6"/>
  <c r="I143" i="6"/>
  <c r="G144" i="6"/>
  <c r="H144" i="6"/>
  <c r="I144" i="6"/>
  <c r="G145" i="6"/>
  <c r="H145" i="6"/>
  <c r="I145" i="6"/>
  <c r="G146" i="6"/>
  <c r="H146" i="6"/>
  <c r="I146" i="6"/>
  <c r="G147" i="6"/>
  <c r="H147" i="6"/>
  <c r="I147" i="6"/>
  <c r="G148" i="6"/>
  <c r="H148" i="6"/>
  <c r="I148" i="6"/>
  <c r="G149" i="6"/>
  <c r="H149" i="6"/>
  <c r="I149" i="6"/>
  <c r="F145" i="6"/>
  <c r="F146" i="6"/>
  <c r="F147" i="6"/>
  <c r="F148" i="6"/>
  <c r="F149" i="6"/>
  <c r="F144" i="6"/>
  <c r="F143" i="6"/>
  <c r="F142" i="6"/>
  <c r="F133" i="6"/>
  <c r="F134" i="6"/>
  <c r="F135" i="6"/>
  <c r="F136" i="6"/>
  <c r="F137" i="6"/>
  <c r="F138" i="6"/>
  <c r="F139" i="6"/>
  <c r="F140" i="6"/>
  <c r="F141" i="6"/>
  <c r="F132" i="6"/>
  <c r="B132" i="6"/>
  <c r="F127" i="6"/>
  <c r="B137" i="6"/>
  <c r="B136" i="6"/>
  <c r="B135" i="6"/>
  <c r="F126" i="6" s="1"/>
  <c r="B134" i="6"/>
  <c r="B133" i="6"/>
  <c r="B126" i="6"/>
  <c r="E45" i="4"/>
  <c r="I45" i="4"/>
  <c r="L45" i="4"/>
  <c r="E46" i="4"/>
  <c r="I46" i="4"/>
  <c r="L46" i="4"/>
  <c r="E47" i="4"/>
  <c r="I47" i="4"/>
  <c r="L47" i="4"/>
  <c r="E48" i="4"/>
  <c r="I48" i="4"/>
  <c r="L48" i="4"/>
  <c r="E49" i="4"/>
  <c r="I49" i="4"/>
  <c r="L49" i="4"/>
  <c r="E50" i="4"/>
  <c r="I50" i="4"/>
  <c r="L50" i="4"/>
  <c r="E51" i="4"/>
  <c r="I51" i="4"/>
  <c r="L51" i="4"/>
  <c r="E52" i="4"/>
  <c r="I52" i="4"/>
  <c r="L52" i="4"/>
  <c r="E53" i="4"/>
  <c r="I53" i="4"/>
  <c r="L53" i="4"/>
  <c r="E54" i="4"/>
  <c r="I54" i="4"/>
  <c r="L54" i="4"/>
  <c r="E55" i="4"/>
  <c r="I55" i="4"/>
  <c r="L55" i="4"/>
  <c r="E56" i="4"/>
  <c r="I56" i="4"/>
  <c r="L56" i="4"/>
  <c r="E57" i="4"/>
  <c r="I57" i="4"/>
  <c r="L57" i="4"/>
  <c r="E58" i="4"/>
  <c r="I58" i="4"/>
  <c r="L58" i="4"/>
  <c r="E59" i="4"/>
  <c r="I59" i="4"/>
  <c r="L59" i="4"/>
  <c r="E60" i="4"/>
  <c r="I60" i="4"/>
  <c r="L60" i="4"/>
  <c r="E61" i="4"/>
  <c r="I61" i="4"/>
  <c r="L61" i="4"/>
  <c r="E62" i="4"/>
  <c r="I62" i="4"/>
  <c r="L62" i="4"/>
  <c r="E63" i="4"/>
  <c r="I63" i="4"/>
  <c r="L63" i="4"/>
  <c r="E64" i="4"/>
  <c r="I64" i="4"/>
  <c r="L64" i="4"/>
  <c r="E65" i="4"/>
  <c r="I65" i="4"/>
  <c r="L65" i="4"/>
  <c r="E66" i="4"/>
  <c r="I66" i="4"/>
  <c r="L66" i="4"/>
  <c r="E67" i="4"/>
  <c r="I67" i="4"/>
  <c r="L67" i="4"/>
  <c r="E68" i="4"/>
  <c r="I68" i="4"/>
  <c r="L68" i="4"/>
  <c r="E69" i="4"/>
  <c r="I69" i="4"/>
  <c r="L69" i="4"/>
  <c r="E70" i="4"/>
  <c r="I70" i="4"/>
  <c r="L70" i="4"/>
  <c r="E71" i="4"/>
  <c r="I71" i="4"/>
  <c r="L71" i="4"/>
  <c r="E72" i="4"/>
  <c r="I72" i="4"/>
  <c r="L72" i="4"/>
  <c r="E73" i="4"/>
  <c r="I73" i="4"/>
  <c r="L73" i="4"/>
  <c r="E74" i="4"/>
  <c r="I74" i="4"/>
  <c r="L74" i="4"/>
  <c r="E75" i="4"/>
  <c r="I75" i="4"/>
  <c r="L75" i="4"/>
  <c r="E76" i="4"/>
  <c r="I76" i="4"/>
  <c r="L76" i="4"/>
  <c r="E77" i="4"/>
  <c r="I77" i="4"/>
  <c r="L77" i="4"/>
  <c r="E78" i="4"/>
  <c r="I78" i="4"/>
  <c r="L78" i="4"/>
  <c r="E79" i="4"/>
  <c r="I79" i="4"/>
  <c r="L79" i="4"/>
  <c r="E80" i="4"/>
  <c r="I80" i="4"/>
  <c r="L80" i="4"/>
  <c r="E81" i="4"/>
  <c r="I81" i="4"/>
  <c r="L81" i="4"/>
  <c r="E82" i="4"/>
  <c r="I82" i="4"/>
  <c r="L82" i="4"/>
  <c r="E83" i="4"/>
  <c r="I83" i="4"/>
  <c r="L83" i="4"/>
  <c r="E84" i="4"/>
  <c r="I84" i="4"/>
  <c r="L84" i="4"/>
  <c r="G105" i="6"/>
  <c r="H105" i="6"/>
  <c r="G67" i="4" s="1"/>
  <c r="F105" i="6"/>
  <c r="M105" i="6" s="1"/>
  <c r="M67" i="4" s="1"/>
  <c r="G104" i="6"/>
  <c r="H104" i="6"/>
  <c r="G66" i="4" s="1"/>
  <c r="F104" i="6"/>
  <c r="M104" i="6" s="1"/>
  <c r="M66" i="4" s="1"/>
  <c r="K3" i="7"/>
  <c r="G23" i="7"/>
  <c r="G22" i="7"/>
  <c r="G21" i="7"/>
  <c r="G7" i="7"/>
  <c r="G8" i="7"/>
  <c r="G9" i="7"/>
  <c r="G10" i="7"/>
  <c r="G11" i="7"/>
  <c r="G12" i="7"/>
  <c r="G13" i="7"/>
  <c r="G14" i="7"/>
  <c r="G15" i="7"/>
  <c r="G16" i="7"/>
  <c r="G17" i="7"/>
  <c r="G18" i="7"/>
  <c r="G6" i="7"/>
  <c r="F67" i="6"/>
  <c r="D67" i="6"/>
  <c r="H3" i="7"/>
  <c r="F7" i="7"/>
  <c r="F8" i="7"/>
  <c r="F9" i="7"/>
  <c r="F10" i="7"/>
  <c r="F11" i="7"/>
  <c r="F12" i="7"/>
  <c r="F13" i="7"/>
  <c r="F14" i="7"/>
  <c r="F15" i="7"/>
  <c r="F16" i="7"/>
  <c r="F17" i="7"/>
  <c r="F18" i="7"/>
  <c r="F6" i="7"/>
  <c r="L6" i="7"/>
  <c r="L7" i="7"/>
  <c r="L8" i="7"/>
  <c r="L9" i="7"/>
  <c r="L10" i="7"/>
  <c r="L11" i="7"/>
  <c r="L12" i="7"/>
  <c r="L13" i="7"/>
  <c r="L14" i="7"/>
  <c r="L15" i="7"/>
  <c r="L16" i="7"/>
  <c r="L5" i="7"/>
  <c r="F60" i="6"/>
  <c r="F58" i="6"/>
  <c r="F55" i="6"/>
  <c r="F53" i="6"/>
  <c r="F49" i="6"/>
  <c r="F47" i="6"/>
  <c r="C60" i="6"/>
  <c r="C58" i="6"/>
  <c r="C55" i="6"/>
  <c r="C53" i="6"/>
  <c r="C49" i="6"/>
  <c r="C47" i="6"/>
  <c r="B60" i="6"/>
  <c r="B58" i="6"/>
  <c r="B55" i="6"/>
  <c r="B53" i="6"/>
  <c r="B49" i="6"/>
  <c r="B47" i="6"/>
  <c r="F40" i="6"/>
  <c r="F38" i="6"/>
  <c r="F34" i="6"/>
  <c r="F31" i="6"/>
  <c r="F29" i="6"/>
  <c r="F26" i="6"/>
  <c r="C40" i="6"/>
  <c r="C38" i="6"/>
  <c r="C34" i="6"/>
  <c r="C31" i="6"/>
  <c r="C29" i="6"/>
  <c r="C26" i="6"/>
  <c r="B40" i="6"/>
  <c r="B38" i="6"/>
  <c r="B34" i="6"/>
  <c r="B31" i="6"/>
  <c r="B29" i="6"/>
  <c r="B26" i="6"/>
  <c r="K134" i="6" l="1"/>
  <c r="F128" i="6"/>
  <c r="H6" i="7"/>
  <c r="I91" i="6" s="1"/>
  <c r="F67" i="4"/>
  <c r="F66" i="4"/>
  <c r="H23" i="7"/>
  <c r="I104" i="6" s="1"/>
  <c r="E18" i="6"/>
  <c r="E21" i="6"/>
  <c r="D40" i="6" s="1"/>
  <c r="E20" i="6"/>
  <c r="D49" i="6" s="1"/>
  <c r="H22" i="7"/>
  <c r="I105" i="6" s="1"/>
  <c r="E19" i="6"/>
  <c r="D29" i="6" s="1"/>
  <c r="H21" i="7"/>
  <c r="E17" i="6"/>
  <c r="D26" i="6" s="1"/>
  <c r="H13" i="7"/>
  <c r="I98" i="6" s="1"/>
  <c r="H15" i="7"/>
  <c r="I100" i="6" s="1"/>
  <c r="H12" i="7"/>
  <c r="I97" i="6" s="1"/>
  <c r="H7" i="7"/>
  <c r="I92" i="6" s="1"/>
  <c r="H11" i="7"/>
  <c r="I96" i="6" s="1"/>
  <c r="H18" i="7"/>
  <c r="I103" i="6" s="1"/>
  <c r="H10" i="7"/>
  <c r="I86" i="6" s="1"/>
  <c r="H17" i="7"/>
  <c r="I102" i="6" s="1"/>
  <c r="H9" i="7"/>
  <c r="I94" i="6" s="1"/>
  <c r="H16" i="7"/>
  <c r="I89" i="6" s="1"/>
  <c r="H8" i="7"/>
  <c r="I84" i="6" s="1"/>
  <c r="H14" i="7"/>
  <c r="I99" i="6" s="1"/>
  <c r="E95" i="6"/>
  <c r="E96" i="6" s="1"/>
  <c r="E97" i="6" s="1"/>
  <c r="E98" i="6" s="1"/>
  <c r="E99" i="6" s="1"/>
  <c r="E100" i="6" s="1"/>
  <c r="E101" i="6" s="1"/>
  <c r="E102" i="6" s="1"/>
  <c r="E103" i="6" s="1"/>
  <c r="F83" i="6"/>
  <c r="F45" i="4" s="1"/>
  <c r="H83" i="6"/>
  <c r="G45" i="4" s="1"/>
  <c r="H103" i="6"/>
  <c r="G65" i="4" s="1"/>
  <c r="F103" i="6"/>
  <c r="F65" i="4" s="1"/>
  <c r="H82" i="6"/>
  <c r="H84" i="6"/>
  <c r="G46" i="4" s="1"/>
  <c r="H86" i="6"/>
  <c r="G48" i="4" s="1"/>
  <c r="H87" i="6"/>
  <c r="G49" i="4" s="1"/>
  <c r="H88" i="6"/>
  <c r="G50" i="4" s="1"/>
  <c r="H89" i="6"/>
  <c r="G51" i="4" s="1"/>
  <c r="H90" i="6"/>
  <c r="G52" i="4" s="1"/>
  <c r="H91" i="6"/>
  <c r="G53" i="4" s="1"/>
  <c r="H92" i="6"/>
  <c r="G54" i="4" s="1"/>
  <c r="H93" i="6"/>
  <c r="G55" i="4" s="1"/>
  <c r="H94" i="6"/>
  <c r="G56" i="4" s="1"/>
  <c r="H95" i="6"/>
  <c r="G57" i="4" s="1"/>
  <c r="H96" i="6"/>
  <c r="G58" i="4" s="1"/>
  <c r="H97" i="6"/>
  <c r="G59" i="4" s="1"/>
  <c r="H98" i="6"/>
  <c r="G60" i="4" s="1"/>
  <c r="H99" i="6"/>
  <c r="G61" i="4" s="1"/>
  <c r="H100" i="6"/>
  <c r="G62" i="4" s="1"/>
  <c r="H101" i="6"/>
  <c r="G63" i="4" s="1"/>
  <c r="G102" i="6"/>
  <c r="H102" i="6"/>
  <c r="G64" i="4" s="1"/>
  <c r="F82" i="6"/>
  <c r="M82" i="6" s="1"/>
  <c r="J79" i="6"/>
  <c r="B79" i="6"/>
  <c r="I19" i="4"/>
  <c r="I25" i="4"/>
  <c r="H59" i="4" l="1"/>
  <c r="H51" i="4"/>
  <c r="H62" i="4"/>
  <c r="H56" i="4"/>
  <c r="H60" i="4"/>
  <c r="H66" i="4"/>
  <c r="H64" i="4"/>
  <c r="H46" i="4"/>
  <c r="H48" i="4"/>
  <c r="H53" i="4"/>
  <c r="H65" i="4"/>
  <c r="H58" i="4"/>
  <c r="H67" i="4"/>
  <c r="H61" i="4"/>
  <c r="H54" i="4"/>
  <c r="K135" i="6"/>
  <c r="I83" i="6"/>
  <c r="M103" i="6"/>
  <c r="M65" i="4" s="1"/>
  <c r="E104" i="6"/>
  <c r="D38" i="6"/>
  <c r="D60" i="6"/>
  <c r="D53" i="6"/>
  <c r="D34" i="6"/>
  <c r="D47" i="6"/>
  <c r="I82" i="6"/>
  <c r="D55" i="6"/>
  <c r="D58" i="6"/>
  <c r="D31" i="6"/>
  <c r="I88" i="6"/>
  <c r="I87" i="6"/>
  <c r="I90" i="6"/>
  <c r="I95" i="6"/>
  <c r="I101" i="6"/>
  <c r="I93" i="6"/>
  <c r="M83" i="6"/>
  <c r="M45" i="4" s="1"/>
  <c r="B6" i="4"/>
  <c r="D29" i="4"/>
  <c r="D11" i="4"/>
  <c r="H25" i="6"/>
  <c r="D10" i="4" s="1"/>
  <c r="H18" i="4"/>
  <c r="D82" i="6"/>
  <c r="D83" i="6"/>
  <c r="D84" i="6"/>
  <c r="D85" i="6"/>
  <c r="I108" i="6" s="1"/>
  <c r="D86" i="6"/>
  <c r="D87" i="6"/>
  <c r="I110" i="6" s="1"/>
  <c r="D88" i="6"/>
  <c r="D89" i="6"/>
  <c r="I112" i="6" s="1"/>
  <c r="D90" i="6"/>
  <c r="D91" i="6"/>
  <c r="I114" i="6" s="1"/>
  <c r="D92" i="6"/>
  <c r="D93" i="6"/>
  <c r="D94" i="6"/>
  <c r="C82" i="6"/>
  <c r="C83" i="6"/>
  <c r="C84" i="6"/>
  <c r="C85" i="6"/>
  <c r="H108" i="6" s="1"/>
  <c r="G70" i="4" s="1"/>
  <c r="C86" i="6"/>
  <c r="C87" i="6"/>
  <c r="H110" i="6" s="1"/>
  <c r="G72" i="4" s="1"/>
  <c r="C88" i="6"/>
  <c r="C89" i="6"/>
  <c r="H112" i="6" s="1"/>
  <c r="G74" i="4" s="1"/>
  <c r="C90" i="6"/>
  <c r="C91" i="6"/>
  <c r="H114" i="6" s="1"/>
  <c r="G76" i="4" s="1"/>
  <c r="C92" i="6"/>
  <c r="C93" i="6"/>
  <c r="C94" i="6"/>
  <c r="J42" i="4"/>
  <c r="J41" i="4"/>
  <c r="I42" i="4"/>
  <c r="I41" i="4"/>
  <c r="G41" i="4"/>
  <c r="G42" i="4"/>
  <c r="F42" i="4"/>
  <c r="F41" i="4"/>
  <c r="J37" i="4"/>
  <c r="J36" i="4"/>
  <c r="I37" i="4"/>
  <c r="I36" i="4"/>
  <c r="G36" i="4"/>
  <c r="G37" i="4"/>
  <c r="F37" i="4"/>
  <c r="F36" i="4"/>
  <c r="H40" i="4"/>
  <c r="H35" i="4"/>
  <c r="H29" i="4"/>
  <c r="E36" i="4"/>
  <c r="E37" i="4"/>
  <c r="E40" i="4"/>
  <c r="E41" i="4"/>
  <c r="E42" i="4"/>
  <c r="E35" i="4"/>
  <c r="J32" i="4"/>
  <c r="J30" i="4"/>
  <c r="I32" i="4"/>
  <c r="I30" i="4"/>
  <c r="G32" i="4"/>
  <c r="H32" i="4"/>
  <c r="G30" i="4"/>
  <c r="F32" i="4"/>
  <c r="F30" i="4"/>
  <c r="E30" i="4"/>
  <c r="E32" i="4"/>
  <c r="E29" i="4"/>
  <c r="H22" i="4"/>
  <c r="H14" i="4"/>
  <c r="I11" i="4"/>
  <c r="F11" i="4"/>
  <c r="H10" i="4"/>
  <c r="E10" i="4"/>
  <c r="K58" i="6"/>
  <c r="K57" i="6"/>
  <c r="K55" i="6"/>
  <c r="K53" i="6"/>
  <c r="K52" i="6"/>
  <c r="K49" i="6"/>
  <c r="K47" i="6"/>
  <c r="K46" i="6"/>
  <c r="H47" i="6" s="1"/>
  <c r="K37" i="6"/>
  <c r="K38" i="6" s="1"/>
  <c r="K33" i="6"/>
  <c r="K34" i="6" s="1"/>
  <c r="K28" i="6"/>
  <c r="K29" i="6" s="1"/>
  <c r="K25" i="6"/>
  <c r="K26" i="6"/>
  <c r="H28" i="6" s="1"/>
  <c r="B82" i="6"/>
  <c r="B87" i="6"/>
  <c r="G110" i="6" s="1"/>
  <c r="A82" i="6"/>
  <c r="F91" i="6"/>
  <c r="F53" i="4" s="1"/>
  <c r="F92" i="6"/>
  <c r="F54" i="4" s="1"/>
  <c r="F93" i="6"/>
  <c r="F55" i="4" s="1"/>
  <c r="F94" i="6"/>
  <c r="F56" i="4" s="1"/>
  <c r="F95" i="6"/>
  <c r="F57" i="4" s="1"/>
  <c r="F96" i="6"/>
  <c r="F58" i="4" s="1"/>
  <c r="F97" i="6"/>
  <c r="F59" i="4" s="1"/>
  <c r="F98" i="6"/>
  <c r="F60" i="4" s="1"/>
  <c r="F99" i="6"/>
  <c r="F61" i="4" s="1"/>
  <c r="F100" i="6"/>
  <c r="F62" i="4" s="1"/>
  <c r="F101" i="6"/>
  <c r="F63" i="4" s="1"/>
  <c r="F102" i="6"/>
  <c r="F64" i="4" s="1"/>
  <c r="F90" i="6"/>
  <c r="F52" i="4" s="1"/>
  <c r="F84" i="6"/>
  <c r="F46" i="4" s="1"/>
  <c r="F86" i="6"/>
  <c r="F48" i="4" s="1"/>
  <c r="F87" i="6"/>
  <c r="F49" i="4" s="1"/>
  <c r="F88" i="6"/>
  <c r="F50" i="4" s="1"/>
  <c r="F89" i="6"/>
  <c r="F51" i="4" s="1"/>
  <c r="A94" i="6"/>
  <c r="F122" i="6" s="1"/>
  <c r="A93" i="6"/>
  <c r="A92" i="6"/>
  <c r="F115" i="6" s="1"/>
  <c r="A91" i="6"/>
  <c r="F114" i="6" s="1"/>
  <c r="A90" i="6"/>
  <c r="F113" i="6" s="1"/>
  <c r="A89" i="6"/>
  <c r="F112" i="6" s="1"/>
  <c r="A88" i="6"/>
  <c r="F120" i="6" s="1"/>
  <c r="A87" i="6"/>
  <c r="A86" i="6"/>
  <c r="F119" i="6" s="1"/>
  <c r="A85" i="6"/>
  <c r="F108" i="6" s="1"/>
  <c r="A84" i="6"/>
  <c r="F107" i="6" s="1"/>
  <c r="A83" i="6"/>
  <c r="H68" i="6"/>
  <c r="C18" i="7"/>
  <c r="D68" i="6" s="1"/>
  <c r="C16" i="7"/>
  <c r="C15" i="7"/>
  <c r="C14" i="7"/>
  <c r="C13" i="7"/>
  <c r="B86" i="6" s="1"/>
  <c r="C12" i="7"/>
  <c r="C11" i="7"/>
  <c r="C10" i="7"/>
  <c r="B89" i="6" s="1"/>
  <c r="G112" i="6" s="1"/>
  <c r="C9" i="7"/>
  <c r="C8" i="7"/>
  <c r="C7" i="7"/>
  <c r="B92" i="6" s="1"/>
  <c r="C6" i="7"/>
  <c r="C5" i="7"/>
  <c r="H57" i="4" l="1"/>
  <c r="H52" i="4"/>
  <c r="H74" i="4"/>
  <c r="H72" i="4"/>
  <c r="H49" i="4"/>
  <c r="H36" i="4"/>
  <c r="H41" i="4"/>
  <c r="H30" i="4"/>
  <c r="H50" i="4"/>
  <c r="H42" i="4"/>
  <c r="H70" i="4"/>
  <c r="H76" i="4"/>
  <c r="H55" i="4"/>
  <c r="H37" i="4"/>
  <c r="H63" i="4"/>
  <c r="H45" i="4"/>
  <c r="K136" i="6"/>
  <c r="M108" i="6"/>
  <c r="M70" i="4" s="1"/>
  <c r="F70" i="4"/>
  <c r="M120" i="6"/>
  <c r="M82" i="4" s="1"/>
  <c r="F82" i="4"/>
  <c r="M112" i="6"/>
  <c r="M74" i="4" s="1"/>
  <c r="F74" i="4"/>
  <c r="M113" i="6"/>
  <c r="M75" i="4" s="1"/>
  <c r="F75" i="4"/>
  <c r="M114" i="6"/>
  <c r="M76" i="4" s="1"/>
  <c r="F76" i="4"/>
  <c r="M107" i="6"/>
  <c r="M69" i="4" s="1"/>
  <c r="F69" i="4"/>
  <c r="M115" i="6"/>
  <c r="M77" i="4" s="1"/>
  <c r="F77" i="4"/>
  <c r="M119" i="6"/>
  <c r="M81" i="4" s="1"/>
  <c r="F81" i="4"/>
  <c r="E105" i="6"/>
  <c r="E106" i="6" s="1"/>
  <c r="E107" i="6" s="1"/>
  <c r="E108" i="6" s="1"/>
  <c r="E109" i="6" s="1"/>
  <c r="E110" i="6" s="1"/>
  <c r="E111" i="6" s="1"/>
  <c r="E112" i="6" s="1"/>
  <c r="E113" i="6" s="1"/>
  <c r="E114" i="6" s="1"/>
  <c r="E115" i="6" s="1"/>
  <c r="E116" i="6" s="1"/>
  <c r="E117" i="6" s="1"/>
  <c r="E118" i="6" s="1"/>
  <c r="E119" i="6" s="1"/>
  <c r="E120" i="6" s="1"/>
  <c r="E121" i="6" s="1"/>
  <c r="E122" i="6" s="1"/>
  <c r="G70" i="6" s="1"/>
  <c r="M122" i="6"/>
  <c r="M84" i="4" s="1"/>
  <c r="F84" i="4"/>
  <c r="G91" i="6"/>
  <c r="G83" i="6"/>
  <c r="G88" i="6"/>
  <c r="G99" i="6"/>
  <c r="G100" i="6"/>
  <c r="G84" i="6"/>
  <c r="G93" i="6"/>
  <c r="G94" i="6"/>
  <c r="G103" i="6"/>
  <c r="B93" i="6"/>
  <c r="G116" i="6" s="1"/>
  <c r="B85" i="6"/>
  <c r="G108" i="6" s="1"/>
  <c r="G89" i="6"/>
  <c r="G101" i="6"/>
  <c r="B94" i="6"/>
  <c r="G117" i="6" s="1"/>
  <c r="G86" i="6"/>
  <c r="G95" i="6"/>
  <c r="B84" i="6"/>
  <c r="G118" i="6" s="1"/>
  <c r="G92" i="6"/>
  <c r="B91" i="6"/>
  <c r="G114" i="6" s="1"/>
  <c r="B83" i="6"/>
  <c r="G96" i="6"/>
  <c r="G97" i="6"/>
  <c r="G87" i="6"/>
  <c r="C26" i="7"/>
  <c r="F71" i="6" s="1"/>
  <c r="B90" i="6"/>
  <c r="G85" i="6" s="1"/>
  <c r="G90" i="6"/>
  <c r="G82" i="6"/>
  <c r="G98" i="6"/>
  <c r="C27" i="7"/>
  <c r="B88" i="6"/>
  <c r="G120" i="6" s="1"/>
  <c r="M94" i="6"/>
  <c r="M56" i="4" s="1"/>
  <c r="M89" i="6"/>
  <c r="M51" i="4" s="1"/>
  <c r="M88" i="6"/>
  <c r="M50" i="4" s="1"/>
  <c r="M100" i="6"/>
  <c r="M62" i="4" s="1"/>
  <c r="M92" i="6"/>
  <c r="M54" i="4" s="1"/>
  <c r="M87" i="6"/>
  <c r="M49" i="4" s="1"/>
  <c r="M99" i="6"/>
  <c r="M61" i="4" s="1"/>
  <c r="M86" i="6"/>
  <c r="M48" i="4" s="1"/>
  <c r="M98" i="6"/>
  <c r="M60" i="4" s="1"/>
  <c r="M84" i="6"/>
  <c r="M46" i="4" s="1"/>
  <c r="M97" i="6"/>
  <c r="M59" i="4" s="1"/>
  <c r="M102" i="6"/>
  <c r="M64" i="4" s="1"/>
  <c r="M101" i="6"/>
  <c r="M63" i="4" s="1"/>
  <c r="M91" i="6"/>
  <c r="M53" i="4" s="1"/>
  <c r="M96" i="6"/>
  <c r="M58" i="4" s="1"/>
  <c r="M93" i="6"/>
  <c r="M55" i="4" s="1"/>
  <c r="M90" i="6"/>
  <c r="M52" i="4" s="1"/>
  <c r="M95" i="6"/>
  <c r="M57" i="4" s="1"/>
  <c r="I106" i="6"/>
  <c r="H106" i="6"/>
  <c r="G68" i="4" s="1"/>
  <c r="F106" i="6"/>
  <c r="I120" i="6"/>
  <c r="I111" i="6"/>
  <c r="G109" i="6"/>
  <c r="G119" i="6"/>
  <c r="H120" i="6"/>
  <c r="G82" i="4" s="1"/>
  <c r="H111" i="6"/>
  <c r="G73" i="4" s="1"/>
  <c r="I122" i="6"/>
  <c r="I117" i="6"/>
  <c r="I119" i="6"/>
  <c r="I109" i="6"/>
  <c r="F116" i="6"/>
  <c r="I116" i="6"/>
  <c r="H113" i="6"/>
  <c r="G75" i="4" s="1"/>
  <c r="H85" i="6"/>
  <c r="G47" i="4" s="1"/>
  <c r="G121" i="6"/>
  <c r="G115" i="6"/>
  <c r="H122" i="6"/>
  <c r="G84" i="4" s="1"/>
  <c r="H117" i="6"/>
  <c r="G79" i="4" s="1"/>
  <c r="H109" i="6"/>
  <c r="G71" i="4" s="1"/>
  <c r="H119" i="6"/>
  <c r="G81" i="4" s="1"/>
  <c r="I115" i="6"/>
  <c r="I121" i="6"/>
  <c r="I107" i="6"/>
  <c r="I118" i="6"/>
  <c r="H116" i="6"/>
  <c r="G78" i="4" s="1"/>
  <c r="H115" i="6"/>
  <c r="G77" i="4" s="1"/>
  <c r="H121" i="6"/>
  <c r="G83" i="4" s="1"/>
  <c r="H107" i="6"/>
  <c r="G69" i="4" s="1"/>
  <c r="H118" i="6"/>
  <c r="G80" i="4" s="1"/>
  <c r="I85" i="6"/>
  <c r="I113" i="6"/>
  <c r="H49" i="6"/>
  <c r="L49" i="6" s="1"/>
  <c r="H52" i="6" s="1"/>
  <c r="D35" i="4" s="1"/>
  <c r="D30" i="4"/>
  <c r="H29" i="6"/>
  <c r="H31" i="6" s="1"/>
  <c r="D14" i="4"/>
  <c r="F70" i="6"/>
  <c r="F72" i="6" s="1"/>
  <c r="F110" i="6"/>
  <c r="F121" i="6"/>
  <c r="F118" i="6"/>
  <c r="F111" i="6"/>
  <c r="F117" i="6"/>
  <c r="F109" i="6"/>
  <c r="F85" i="6"/>
  <c r="F47" i="4" s="1"/>
  <c r="K40" i="6"/>
  <c r="K31" i="6"/>
  <c r="J19" i="4"/>
  <c r="H19" i="4"/>
  <c r="G19" i="4"/>
  <c r="F19" i="4"/>
  <c r="E19" i="4"/>
  <c r="E18" i="4"/>
  <c r="J16" i="4"/>
  <c r="I16" i="4"/>
  <c r="H16" i="4"/>
  <c r="H15" i="4"/>
  <c r="G15" i="4"/>
  <c r="G16" i="4"/>
  <c r="F16" i="4"/>
  <c r="E16" i="4"/>
  <c r="F15" i="4"/>
  <c r="I15" i="4"/>
  <c r="J15" i="4"/>
  <c r="E15" i="4"/>
  <c r="E14" i="4"/>
  <c r="J11" i="4"/>
  <c r="H11" i="4"/>
  <c r="G11" i="4"/>
  <c r="E11" i="4"/>
  <c r="F25" i="4"/>
  <c r="F23" i="4"/>
  <c r="G23" i="4"/>
  <c r="J25" i="4"/>
  <c r="H25" i="4"/>
  <c r="G25" i="4"/>
  <c r="E25" i="4"/>
  <c r="J23" i="4"/>
  <c r="I23" i="4"/>
  <c r="H23" i="4"/>
  <c r="E23" i="4"/>
  <c r="E22" i="4"/>
  <c r="C23" i="4"/>
  <c r="B23" i="4"/>
  <c r="H71" i="4" l="1"/>
  <c r="H73" i="4"/>
  <c r="H81" i="4"/>
  <c r="H82" i="4"/>
  <c r="H80" i="4"/>
  <c r="H79" i="4"/>
  <c r="H75" i="4"/>
  <c r="H69" i="4"/>
  <c r="H84" i="4"/>
  <c r="H47" i="4"/>
  <c r="H83" i="4"/>
  <c r="H68" i="4"/>
  <c r="H77" i="4"/>
  <c r="H78" i="4"/>
  <c r="K137" i="6"/>
  <c r="M117" i="6"/>
  <c r="M79" i="4" s="1"/>
  <c r="F79" i="4"/>
  <c r="M111" i="6"/>
  <c r="M73" i="4" s="1"/>
  <c r="F73" i="4"/>
  <c r="M118" i="6"/>
  <c r="M80" i="4" s="1"/>
  <c r="F80" i="4"/>
  <c r="M106" i="6"/>
  <c r="M68" i="4" s="1"/>
  <c r="F68" i="4"/>
  <c r="M121" i="6"/>
  <c r="M83" i="4" s="1"/>
  <c r="F83" i="4"/>
  <c r="M110" i="6"/>
  <c r="M72" i="4" s="1"/>
  <c r="F72" i="4"/>
  <c r="M116" i="6"/>
  <c r="M78" i="4" s="1"/>
  <c r="F78" i="4"/>
  <c r="M109" i="6"/>
  <c r="M71" i="4" s="1"/>
  <c r="F71" i="4"/>
  <c r="G107" i="6"/>
  <c r="G111" i="6"/>
  <c r="G106" i="6"/>
  <c r="G122" i="6"/>
  <c r="G113" i="6"/>
  <c r="M85" i="6"/>
  <c r="M47" i="4" s="1"/>
  <c r="D32" i="4"/>
  <c r="H53" i="6"/>
  <c r="D36" i="4" s="1"/>
  <c r="D15" i="4"/>
  <c r="F73" i="6"/>
  <c r="K138" i="6" l="1"/>
  <c r="B72" i="6"/>
  <c r="K83" i="6" s="1"/>
  <c r="K84" i="6" s="1"/>
  <c r="G71" i="6"/>
  <c r="H55" i="6"/>
  <c r="H57" i="6" s="1"/>
  <c r="H33" i="6"/>
  <c r="D16" i="4"/>
  <c r="K139" i="6" l="1"/>
  <c r="K85" i="6"/>
  <c r="D37" i="4"/>
  <c r="H58" i="6"/>
  <c r="D40" i="4"/>
  <c r="D18" i="4"/>
  <c r="H34" i="6"/>
  <c r="K140" i="6" l="1"/>
  <c r="K86" i="6"/>
  <c r="H60" i="6"/>
  <c r="D41" i="4"/>
  <c r="D19" i="4"/>
  <c r="L34" i="6"/>
  <c r="K141" i="6" l="1"/>
  <c r="K87" i="6"/>
  <c r="D42" i="4"/>
  <c r="K60" i="6"/>
  <c r="L62" i="6" s="1"/>
  <c r="H37" i="6"/>
  <c r="K142" i="6" l="1"/>
  <c r="L141" i="6"/>
  <c r="L132" i="6"/>
  <c r="K88" i="6"/>
  <c r="H38" i="6"/>
  <c r="D22" i="4"/>
  <c r="K143" i="6" l="1"/>
  <c r="L142" i="6"/>
  <c r="L133" i="6"/>
  <c r="K89" i="6"/>
  <c r="D23" i="4"/>
  <c r="H40" i="6"/>
  <c r="K144" i="6" l="1"/>
  <c r="L143" i="6"/>
  <c r="L134" i="6"/>
  <c r="K90" i="6"/>
  <c r="L42" i="6"/>
  <c r="B66" i="6" s="1"/>
  <c r="D25" i="4"/>
  <c r="K145" i="6" l="1"/>
  <c r="L144" i="6"/>
  <c r="L135" i="6"/>
  <c r="K91" i="6"/>
  <c r="B76" i="6"/>
  <c r="K146" i="6" l="1"/>
  <c r="L145" i="6"/>
  <c r="L136" i="6"/>
  <c r="K92" i="6"/>
  <c r="K147" i="6" l="1"/>
  <c r="L146" i="6"/>
  <c r="L137" i="6"/>
  <c r="K93" i="6"/>
  <c r="K148" i="6" l="1"/>
  <c r="L147" i="6"/>
  <c r="L138" i="6"/>
  <c r="K94" i="6"/>
  <c r="K149" i="6" l="1"/>
  <c r="L148" i="6"/>
  <c r="L139" i="6"/>
  <c r="K95" i="6"/>
  <c r="L149" i="6" l="1"/>
  <c r="L140" i="6"/>
  <c r="K96" i="6"/>
  <c r="K97" i="6" l="1"/>
  <c r="K98" i="6" l="1"/>
  <c r="K99" i="6" l="1"/>
  <c r="K100" i="6" l="1"/>
  <c r="K101" i="6" l="1"/>
  <c r="K102" i="6" l="1"/>
  <c r="K103" i="6" l="1"/>
  <c r="K104" i="6" l="1"/>
  <c r="L103" i="6"/>
  <c r="L84" i="6"/>
  <c r="L85" i="6"/>
  <c r="L86" i="6"/>
  <c r="L87" i="6"/>
  <c r="L88" i="6"/>
  <c r="L89" i="6"/>
  <c r="L90" i="6"/>
  <c r="L91" i="6"/>
  <c r="L83" i="6"/>
  <c r="L82" i="6"/>
  <c r="L92" i="6"/>
  <c r="L93" i="6"/>
  <c r="L94" i="6"/>
  <c r="L95" i="6"/>
  <c r="L96" i="6"/>
  <c r="L97" i="6"/>
  <c r="L98" i="6"/>
  <c r="L99" i="6"/>
  <c r="L100" i="6"/>
  <c r="L101" i="6"/>
  <c r="L102" i="6"/>
  <c r="C50" i="4" l="1"/>
  <c r="D50" i="4"/>
  <c r="C51" i="4"/>
  <c r="D51" i="4"/>
  <c r="C56" i="4"/>
  <c r="D56" i="4"/>
  <c r="C63" i="4"/>
  <c r="D63" i="4"/>
  <c r="C55" i="4"/>
  <c r="D55" i="4"/>
  <c r="C49" i="4"/>
  <c r="D49" i="4"/>
  <c r="C62" i="4"/>
  <c r="D62" i="4"/>
  <c r="C54" i="4"/>
  <c r="D54" i="4"/>
  <c r="C48" i="4"/>
  <c r="D48" i="4"/>
  <c r="C47" i="4"/>
  <c r="D47" i="4"/>
  <c r="C61" i="4"/>
  <c r="D61" i="4"/>
  <c r="C45" i="4"/>
  <c r="D45" i="4"/>
  <c r="C46" i="4"/>
  <c r="D46" i="4"/>
  <c r="C57" i="4"/>
  <c r="D57" i="4"/>
  <c r="B77" i="6"/>
  <c r="D76" i="6" s="1"/>
  <c r="C60" i="4"/>
  <c r="D60" i="4"/>
  <c r="C59" i="4"/>
  <c r="D59" i="4"/>
  <c r="C53" i="4"/>
  <c r="D53" i="4"/>
  <c r="C65" i="4"/>
  <c r="D65" i="4"/>
  <c r="C64" i="4"/>
  <c r="D64" i="4"/>
  <c r="C58" i="4"/>
  <c r="D58" i="4"/>
  <c r="C52" i="4"/>
  <c r="D52" i="4"/>
  <c r="K105" i="6"/>
  <c r="L104" i="6"/>
  <c r="C66" i="4" l="1"/>
  <c r="D66" i="4"/>
  <c r="K106" i="6"/>
  <c r="L105" i="6"/>
  <c r="C67" i="4" l="1"/>
  <c r="D67" i="4"/>
  <c r="K107" i="6"/>
  <c r="L106" i="6"/>
  <c r="C68" i="4" l="1"/>
  <c r="D68" i="4"/>
  <c r="K108" i="6"/>
  <c r="L107" i="6"/>
  <c r="C69" i="4" l="1"/>
  <c r="D69" i="4"/>
  <c r="K109" i="6"/>
  <c r="L108" i="6"/>
  <c r="C70" i="4" l="1"/>
  <c r="D70" i="4"/>
  <c r="K110" i="6"/>
  <c r="L109" i="6"/>
  <c r="C71" i="4" l="1"/>
  <c r="D71" i="4"/>
  <c r="K111" i="6"/>
  <c r="L110" i="6"/>
  <c r="C72" i="4" l="1"/>
  <c r="D72" i="4"/>
  <c r="K112" i="6"/>
  <c r="L111" i="6"/>
  <c r="C73" i="4" l="1"/>
  <c r="D73" i="4"/>
  <c r="K113" i="6"/>
  <c r="L112" i="6"/>
  <c r="C74" i="4" l="1"/>
  <c r="D74" i="4"/>
  <c r="K114" i="6"/>
  <c r="L113" i="6"/>
  <c r="C75" i="4" l="1"/>
  <c r="D75" i="4"/>
  <c r="K115" i="6"/>
  <c r="L114" i="6"/>
  <c r="C76" i="4" l="1"/>
  <c r="D76" i="4"/>
  <c r="K116" i="6"/>
  <c r="L115" i="6"/>
  <c r="C77" i="4" l="1"/>
  <c r="D77" i="4"/>
  <c r="K117" i="6"/>
  <c r="L116" i="6"/>
  <c r="C78" i="4" l="1"/>
  <c r="D78" i="4"/>
  <c r="K118" i="6"/>
  <c r="L117" i="6"/>
  <c r="C79" i="4" l="1"/>
  <c r="D79" i="4"/>
  <c r="K119" i="6"/>
  <c r="L118" i="6"/>
  <c r="C80" i="4" l="1"/>
  <c r="D80" i="4"/>
  <c r="K120" i="6"/>
  <c r="L119" i="6"/>
  <c r="C81" i="4" l="1"/>
  <c r="D81" i="4"/>
  <c r="K121" i="6"/>
  <c r="L120" i="6"/>
  <c r="C82" i="4" l="1"/>
  <c r="D82" i="4"/>
  <c r="K122" i="6"/>
  <c r="L121" i="6"/>
  <c r="C83" i="4" l="1"/>
  <c r="D83" i="4"/>
  <c r="L122" i="6"/>
  <c r="G73" i="6"/>
  <c r="C84" i="4" l="1"/>
  <c r="D84" i="4"/>
  <c r="B78" i="6"/>
  <c r="D78" i="6" s="1"/>
</calcChain>
</file>

<file path=xl/sharedStrings.xml><?xml version="1.0" encoding="utf-8"?>
<sst xmlns="http://schemas.openxmlformats.org/spreadsheetml/2006/main" count="675" uniqueCount="153">
  <si>
    <t>Chromosphere</t>
  </si>
  <si>
    <t>Prominences</t>
  </si>
  <si>
    <t>6D1</t>
  </si>
  <si>
    <t>Camera1 ID</t>
  </si>
  <si>
    <t>Camera2 ID</t>
  </si>
  <si>
    <t>Exposure</t>
  </si>
  <si>
    <t>FPS</t>
  </si>
  <si>
    <t>CHGCSSL</t>
  </si>
  <si>
    <t>C2</t>
  </si>
  <si>
    <t>Start</t>
  </si>
  <si>
    <t>+</t>
  </si>
  <si>
    <t>TAKEBST</t>
  </si>
  <si>
    <t>TAKEBST setup time</t>
  </si>
  <si>
    <t>Aperture</t>
  </si>
  <si>
    <t>ISO</t>
  </si>
  <si>
    <t>Format</t>
  </si>
  <si>
    <t>RAW</t>
  </si>
  <si>
    <t>None</t>
  </si>
  <si>
    <t>N</t>
  </si>
  <si>
    <t>End</t>
  </si>
  <si>
    <t>1/160</t>
  </si>
  <si>
    <t>TAKEPIC</t>
  </si>
  <si>
    <t>before C2</t>
  </si>
  <si>
    <t>FPS/TBE</t>
  </si>
  <si>
    <t>-</t>
  </si>
  <si>
    <t>Y</t>
  </si>
  <si>
    <t>Exec time</t>
  </si>
  <si>
    <t># Diamond ring 1</t>
  </si>
  <si>
    <t># Chromosphere</t>
  </si>
  <si>
    <t># Prominences</t>
  </si>
  <si>
    <t># Diamond + Baily's</t>
  </si>
  <si>
    <t>C2 Bailys burst 1</t>
  </si>
  <si>
    <t>Buffer time</t>
  </si>
  <si>
    <t>C2 Baily's burst 2</t>
  </si>
  <si>
    <t>Wait</t>
  </si>
  <si>
    <t>TAKEBST exec error</t>
  </si>
  <si>
    <t>per frame</t>
  </si>
  <si>
    <t>Count</t>
  </si>
  <si>
    <t>after C2</t>
  </si>
  <si>
    <t>Circumstances</t>
  </si>
  <si>
    <t>Max</t>
  </si>
  <si>
    <t>C3</t>
  </si>
  <si>
    <t>Around C2</t>
  </si>
  <si>
    <t>Full C2 sequence</t>
  </si>
  <si>
    <t>Totality</t>
  </si>
  <si>
    <t>1/4000</t>
  </si>
  <si>
    <t>1/2000</t>
  </si>
  <si>
    <t>1/1250</t>
  </si>
  <si>
    <t>1/640</t>
  </si>
  <si>
    <t>1/320</t>
  </si>
  <si>
    <t>1/80</t>
  </si>
  <si>
    <t>1/40</t>
  </si>
  <si>
    <t>1/20</t>
  </si>
  <si>
    <t>1/10</t>
  </si>
  <si>
    <t>1/5</t>
  </si>
  <si>
    <t>1/2</t>
  </si>
  <si>
    <t>1/1.3</t>
  </si>
  <si>
    <t>1.6</t>
  </si>
  <si>
    <t>4</t>
  </si>
  <si>
    <t>Sum</t>
  </si>
  <si>
    <t>2 to 13</t>
  </si>
  <si>
    <t>1 to 13</t>
  </si>
  <si>
    <t>Sequence</t>
  </si>
  <si>
    <t>Counts/set</t>
  </si>
  <si>
    <t>Total exposure time</t>
  </si>
  <si>
    <t>Number of sets</t>
  </si>
  <si>
    <t>Available time</t>
  </si>
  <si>
    <t>Earth shine exposure</t>
  </si>
  <si>
    <t>Value</t>
  </si>
  <si>
    <t>Earthshine counts</t>
  </si>
  <si>
    <t>Total wait time</t>
  </si>
  <si>
    <t>###### C2</t>
  </si>
  <si>
    <t>###### Totality</t>
  </si>
  <si>
    <t>Earthshine  text</t>
  </si>
  <si>
    <t>MAX</t>
  </si>
  <si>
    <t>Reverse exposures</t>
  </si>
  <si>
    <t>Total  exposures</t>
  </si>
  <si>
    <t>Exposure time/set</t>
  </si>
  <si>
    <t>Set FPS</t>
  </si>
  <si>
    <t>Around C3</t>
  </si>
  <si>
    <t>after C3</t>
  </si>
  <si>
    <t>Diamond burst 1</t>
  </si>
  <si>
    <t>Baily's burst 1</t>
  </si>
  <si>
    <t>Diamond burst 2</t>
  </si>
  <si>
    <t>Baily's burst 2</t>
  </si>
  <si>
    <t>before C3</t>
  </si>
  <si>
    <t>Full C3 sequence</t>
  </si>
  <si>
    <t>C2 Diamond burst 1</t>
  </si>
  <si>
    <t>C2 Diamond burst  2</t>
  </si>
  <si>
    <t xml:space="preserve">C2 Chromosphere </t>
  </si>
  <si>
    <t>C2 Prominences</t>
  </si>
  <si>
    <t>###### C3</t>
  </si>
  <si>
    <t>C3 Prominences</t>
  </si>
  <si>
    <t>C3 Chromosphere</t>
  </si>
  <si>
    <t>C3 Baily's burst 2</t>
  </si>
  <si>
    <t>C3 Diamond burst 2</t>
  </si>
  <si>
    <t>C3 Diamond burst 1</t>
  </si>
  <si>
    <t>C3 Baily's burst 1</t>
  </si>
  <si>
    <t># Diamond + Baily's 2</t>
  </si>
  <si>
    <t># Diamond + Baily's 1</t>
  </si>
  <si>
    <t>Exposures</t>
  </si>
  <si>
    <t>#</t>
  </si>
  <si>
    <t xml:space="preserve"> </t>
  </si>
  <si>
    <t># N/Y</t>
  </si>
  <si>
    <t>keep between -0.5 and 0</t>
  </si>
  <si>
    <t>keep around 10</t>
  </si>
  <si>
    <t>Last C2 exposure</t>
  </si>
  <si>
    <t>First Totality exposure</t>
  </si>
  <si>
    <t>Last Totality exposure</t>
  </si>
  <si>
    <t>First C3 exposure</t>
  </si>
  <si>
    <t>Refresh</t>
  </si>
  <si>
    <t>Time b/w images (N)</t>
  </si>
  <si>
    <t>Time b/w images(Y)</t>
  </si>
  <si>
    <t>Y/N</t>
  </si>
  <si>
    <t>Max allowed interval</t>
  </si>
  <si>
    <t>keep at least 2</t>
  </si>
  <si>
    <t>keeep less than 10</t>
  </si>
  <si>
    <t>Inc ratio</t>
  </si>
  <si>
    <t>MLU</t>
  </si>
  <si>
    <t>(wrt C2)</t>
  </si>
  <si>
    <t>Baily's beads</t>
  </si>
  <si>
    <t>2</t>
  </si>
  <si>
    <t>Extras</t>
  </si>
  <si>
    <t>Exposure compensation</t>
  </si>
  <si>
    <t>Compensated ISO</t>
  </si>
  <si>
    <t>Compensation</t>
  </si>
  <si>
    <t>Max ISO</t>
  </si>
  <si>
    <t>Comp ISO</t>
  </si>
  <si>
    <t>keep less than 10</t>
  </si>
  <si>
    <t>Calculated</t>
  </si>
  <si>
    <t>Real</t>
  </si>
  <si>
    <t>Total time</t>
  </si>
  <si>
    <t>Wide1</t>
  </si>
  <si>
    <t>1/100</t>
  </si>
  <si>
    <t>Diamond ring 1</t>
  </si>
  <si>
    <t>Diamond ring 2</t>
  </si>
  <si>
    <t>1/200</t>
  </si>
  <si>
    <t>Do not modify this a few days before the eclipse</t>
  </si>
  <si>
    <t>Relative EV</t>
  </si>
  <si>
    <t>Wide angle Exposures</t>
  </si>
  <si>
    <t>8</t>
  </si>
  <si>
    <t>30</t>
  </si>
  <si>
    <t>3</t>
  </si>
  <si>
    <t>Time b/w exposures</t>
  </si>
  <si>
    <t>1</t>
  </si>
  <si>
    <t>Total per set</t>
  </si>
  <si>
    <t>Total real</t>
  </si>
  <si>
    <t xml:space="preserve">Time left </t>
  </si>
  <si>
    <t># autogen start</t>
  </si>
  <si>
    <t># autogen end</t>
  </si>
  <si>
    <t xml:space="preserve">Important: Edit only the blue cells. </t>
  </si>
  <si>
    <t># Autogenerated by GenerateEMScript.xlsm. Do not modify manually</t>
  </si>
  <si>
    <t># Autogenerated by GenerateEMScript.xlsm. Do not modify manually.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</si>
</sst>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"/>
    <numFmt numFmtId="167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NumberFormat="1"/>
    <xf numFmtId="49" fontId="0" fillId="0" borderId="0" xfId="0" applyNumberFormat="1"/>
    <xf numFmtId="2" fontId="0" fillId="0" borderId="0" xfId="0" applyNumberFormat="1"/>
    <xf numFmtId="1" fontId="0" fillId="0" borderId="0" xfId="0" applyNumberFormat="1"/>
    <xf numFmtId="0" fontId="0" fillId="0" borderId="0" xfId="0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165" fontId="0" fillId="0" borderId="0" xfId="0" applyNumberForma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2" fontId="0" fillId="0" borderId="0" xfId="0" applyNumberFormat="1" applyAlignment="1">
      <alignment vertical="center"/>
    </xf>
    <xf numFmtId="49" fontId="0" fillId="0" borderId="0" xfId="0" applyNumberFormat="1" applyAlignment="1">
      <alignment horizontal="left"/>
    </xf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166" fontId="0" fillId="0" borderId="0" xfId="0" applyNumberFormat="1"/>
    <xf numFmtId="166" fontId="0" fillId="0" borderId="0" xfId="0" applyNumberFormat="1" applyAlignment="1">
      <alignment horizontal="right"/>
    </xf>
    <xf numFmtId="49" fontId="0" fillId="2" borderId="0" xfId="0" applyNumberFormat="1" applyFill="1"/>
    <xf numFmtId="0" fontId="0" fillId="2" borderId="0" xfId="0" applyFill="1"/>
    <xf numFmtId="2" fontId="0" fillId="2" borderId="0" xfId="0" applyNumberFormat="1" applyFill="1" applyAlignment="1">
      <alignment horizontal="right"/>
    </xf>
    <xf numFmtId="2" fontId="0" fillId="2" borderId="0" xfId="0" applyNumberFormat="1" applyFill="1"/>
    <xf numFmtId="0" fontId="0" fillId="2" borderId="0" xfId="0" applyNumberFormat="1" applyFill="1"/>
    <xf numFmtId="1" fontId="0" fillId="2" borderId="0" xfId="0" applyNumberFormat="1" applyFill="1"/>
    <xf numFmtId="166" fontId="0" fillId="2" borderId="0" xfId="0" applyNumberFormat="1" applyFill="1"/>
    <xf numFmtId="0" fontId="0" fillId="2" borderId="0" xfId="0" applyFill="1" applyAlignment="1">
      <alignment vertical="center"/>
    </xf>
    <xf numFmtId="167" fontId="0" fillId="0" borderId="0" xfId="0" applyNumberFormat="1" applyAlignment="1">
      <alignment horizontal="left"/>
    </xf>
    <xf numFmtId="164" fontId="0" fillId="0" borderId="0" xfId="0" applyNumberFormat="1" applyAlignment="1">
      <alignment horizontal="right"/>
    </xf>
    <xf numFmtId="49" fontId="1" fillId="0" borderId="0" xfId="0" applyNumberFormat="1" applyFont="1"/>
    <xf numFmtId="2" fontId="1" fillId="0" borderId="0" xfId="0" applyNumberFormat="1" applyFont="1"/>
    <xf numFmtId="12" fontId="0" fillId="0" borderId="0" xfId="0" applyNumberFormat="1"/>
    <xf numFmtId="1" fontId="1" fillId="0" borderId="0" xfId="0" applyNumberFormat="1" applyFont="1"/>
    <xf numFmtId="0" fontId="1" fillId="0" borderId="0" xfId="0" applyFont="1" applyAlignment="1">
      <alignment vertical="center"/>
    </xf>
    <xf numFmtId="167" fontId="0" fillId="2" borderId="0" xfId="0" applyNumberFormat="1" applyFill="1"/>
    <xf numFmtId="0" fontId="0" fillId="0" borderId="0" xfId="0" applyFont="1"/>
    <xf numFmtId="2" fontId="0" fillId="0" borderId="0" xfId="0" applyNumberFormat="1" applyFont="1"/>
    <xf numFmtId="49" fontId="0" fillId="0" borderId="0" xfId="0" applyNumberFormat="1" applyFont="1"/>
    <xf numFmtId="0" fontId="0" fillId="2" borderId="0" xfId="0" applyFont="1" applyFill="1"/>
    <xf numFmtId="0" fontId="0" fillId="2" borderId="0" xfId="0" applyFill="1" applyAlignment="1">
      <alignment horizontal="left"/>
    </xf>
    <xf numFmtId="49" fontId="0" fillId="2" borderId="0" xfId="0" applyNumberFormat="1" applyFill="1" applyAlignment="1">
      <alignment horizontal="lef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</xdr:row>
          <xdr:rowOff>190500</xdr:rowOff>
        </xdr:from>
        <xdr:to>
          <xdr:col>9</xdr:col>
          <xdr:colOff>1009650</xdr:colOff>
          <xdr:row>12</xdr:row>
          <xdr:rowOff>180975</xdr:rowOff>
        </xdr:to>
        <xdr:sp macro="" textlink="">
          <xdr:nvSpPr>
            <xdr:cNvPr id="3073" name="Expo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zoom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9525</xdr:rowOff>
        </xdr:from>
        <xdr:to>
          <xdr:col>10</xdr:col>
          <xdr:colOff>0</xdr:colOff>
          <xdr:row>18</xdr:row>
          <xdr:rowOff>161925</xdr:rowOff>
        </xdr:to>
        <xdr:sp macro="" textlink="">
          <xdr:nvSpPr>
            <xdr:cNvPr id="3082" name="Export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wide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13</xdr:col>
          <xdr:colOff>0</xdr:colOff>
          <xdr:row>3</xdr:row>
          <xdr:rowOff>9525</xdr:rowOff>
        </xdr:to>
        <xdr:sp macro="" textlink="">
          <xdr:nvSpPr>
            <xdr:cNvPr id="2050" name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zoom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14</xdr:col>
          <xdr:colOff>0</xdr:colOff>
          <xdr:row>2</xdr:row>
          <xdr:rowOff>180975</xdr:rowOff>
        </xdr:to>
        <xdr:sp macro="" textlink="">
          <xdr:nvSpPr>
            <xdr:cNvPr id="6145" name="Export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wide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50"/>
  <sheetViews>
    <sheetView zoomScale="80" zoomScaleNormal="80" workbookViewId="0">
      <selection activeCell="E2" sqref="E2:I2"/>
    </sheetView>
  </sheetViews>
  <sheetFormatPr defaultRowHeight="15" x14ac:dyDescent="0.25"/>
  <cols>
    <col min="1" max="1" width="21.28515625" style="8" customWidth="1"/>
    <col min="2" max="2" width="11.28515625" customWidth="1"/>
    <col min="3" max="3" width="10.5703125" customWidth="1"/>
    <col min="4" max="4" width="10.28515625" customWidth="1"/>
    <col min="5" max="5" width="19.140625" customWidth="1"/>
    <col min="6" max="6" width="9.85546875" customWidth="1"/>
    <col min="7" max="7" width="17.5703125" bestFit="1" customWidth="1"/>
    <col min="8" max="8" width="11.42578125" bestFit="1" customWidth="1"/>
    <col min="9" max="9" width="19.140625" bestFit="1" customWidth="1"/>
    <col min="10" max="10" width="15.42578125" customWidth="1"/>
    <col min="11" max="11" width="11" style="3" customWidth="1"/>
  </cols>
  <sheetData>
    <row r="1" spans="1:9" x14ac:dyDescent="0.25">
      <c r="C1" t="s">
        <v>6</v>
      </c>
    </row>
    <row r="2" spans="1:9" x14ac:dyDescent="0.25">
      <c r="A2" s="8" t="s">
        <v>3</v>
      </c>
      <c r="B2" s="24" t="s">
        <v>2</v>
      </c>
      <c r="C2" s="24">
        <v>3</v>
      </c>
      <c r="E2" s="45" t="s">
        <v>150</v>
      </c>
      <c r="F2" s="45"/>
      <c r="G2" s="45"/>
      <c r="H2" s="45"/>
      <c r="I2" s="45"/>
    </row>
    <row r="3" spans="1:9" x14ac:dyDescent="0.25">
      <c r="A3" s="8" t="s">
        <v>4</v>
      </c>
      <c r="B3" s="24" t="s">
        <v>132</v>
      </c>
    </row>
    <row r="5" spans="1:9" x14ac:dyDescent="0.25">
      <c r="A5" s="8" t="s">
        <v>12</v>
      </c>
      <c r="B5" s="24">
        <v>0.5</v>
      </c>
    </row>
    <row r="6" spans="1:9" x14ac:dyDescent="0.25">
      <c r="A6" s="8" t="s">
        <v>35</v>
      </c>
      <c r="B6" s="24">
        <v>0.1</v>
      </c>
      <c r="C6" t="s">
        <v>36</v>
      </c>
    </row>
    <row r="7" spans="1:9" x14ac:dyDescent="0.25">
      <c r="A7" s="8" t="s">
        <v>32</v>
      </c>
      <c r="B7" s="24">
        <v>0.5</v>
      </c>
    </row>
    <row r="9" spans="1:9" x14ac:dyDescent="0.25">
      <c r="A9" s="9" t="s">
        <v>39</v>
      </c>
      <c r="B9" t="s">
        <v>119</v>
      </c>
      <c r="E9" s="17" t="s">
        <v>123</v>
      </c>
      <c r="G9" s="24">
        <v>0</v>
      </c>
    </row>
    <row r="10" spans="1:9" x14ac:dyDescent="0.25">
      <c r="A10" s="8" t="s">
        <v>8</v>
      </c>
      <c r="B10" s="24">
        <v>0</v>
      </c>
      <c r="E10" t="s">
        <v>126</v>
      </c>
      <c r="G10" s="24">
        <v>1600</v>
      </c>
    </row>
    <row r="11" spans="1:9" x14ac:dyDescent="0.25">
      <c r="A11" s="8" t="s">
        <v>40</v>
      </c>
      <c r="B11" s="24">
        <v>59</v>
      </c>
    </row>
    <row r="12" spans="1:9" x14ac:dyDescent="0.25">
      <c r="A12" s="8" t="s">
        <v>41</v>
      </c>
      <c r="B12" s="24">
        <v>115</v>
      </c>
    </row>
    <row r="15" spans="1:9" x14ac:dyDescent="0.25">
      <c r="A15" s="9" t="s">
        <v>42</v>
      </c>
    </row>
    <row r="16" spans="1:9" x14ac:dyDescent="0.25">
      <c r="A16" s="9"/>
      <c r="B16" t="s">
        <v>5</v>
      </c>
      <c r="C16" t="s">
        <v>13</v>
      </c>
      <c r="D16" t="s">
        <v>14</v>
      </c>
      <c r="E16" t="s">
        <v>124</v>
      </c>
      <c r="F16" t="s">
        <v>15</v>
      </c>
    </row>
    <row r="17" spans="1:12" x14ac:dyDescent="0.25">
      <c r="A17" s="11" t="s">
        <v>134</v>
      </c>
      <c r="B17" s="23" t="s">
        <v>133</v>
      </c>
      <c r="C17" s="24">
        <v>6.3</v>
      </c>
      <c r="D17" s="24">
        <v>100</v>
      </c>
      <c r="E17" s="4">
        <f ca="1">MIN(OFFSET('Exposure list'!$K$5,MATCH(D17,'Exposure list'!K$5:K$21)-1+MATCH('Exposure list'!$H$3,'Exposure list'!J$5:J$21)-1,0),'Exposure list'!$K$3)</f>
        <v>100</v>
      </c>
      <c r="F17" s="24" t="s">
        <v>16</v>
      </c>
    </row>
    <row r="18" spans="1:12" x14ac:dyDescent="0.25">
      <c r="A18" s="11" t="s">
        <v>135</v>
      </c>
      <c r="B18" s="23" t="s">
        <v>136</v>
      </c>
      <c r="C18" s="24">
        <v>6.3</v>
      </c>
      <c r="D18" s="24">
        <v>100</v>
      </c>
      <c r="E18" s="4">
        <f ca="1">MIN(OFFSET('Exposure list'!$K$5,MATCH(D18,'Exposure list'!K$5:K$21)-1+MATCH('Exposure list'!$H$3,'Exposure list'!J$5:J$21)-1,0),'Exposure list'!$K$3)</f>
        <v>100</v>
      </c>
      <c r="F18" s="24" t="s">
        <v>16</v>
      </c>
    </row>
    <row r="19" spans="1:12" x14ac:dyDescent="0.25">
      <c r="A19" s="11" t="s">
        <v>120</v>
      </c>
      <c r="B19" s="23" t="s">
        <v>45</v>
      </c>
      <c r="C19" s="24">
        <v>6.3</v>
      </c>
      <c r="D19" s="24">
        <v>100</v>
      </c>
      <c r="E19" s="4">
        <f ca="1">MIN(OFFSET('Exposure list'!$K$5,MATCH(D19,'Exposure list'!K$5:K$21)-1+MATCH('Exposure list'!$H$3,'Exposure list'!J$5:J$21)-1,0),'Exposure list'!$K$3)</f>
        <v>100</v>
      </c>
      <c r="F19" s="24" t="s">
        <v>16</v>
      </c>
    </row>
    <row r="20" spans="1:12" x14ac:dyDescent="0.25">
      <c r="A20" s="11" t="s">
        <v>0</v>
      </c>
      <c r="B20" s="23" t="s">
        <v>45</v>
      </c>
      <c r="C20" s="24">
        <v>6.3</v>
      </c>
      <c r="D20" s="24">
        <v>100</v>
      </c>
      <c r="E20" s="4">
        <f ca="1">MIN(OFFSET('Exposure list'!$K$5,MATCH(D20,'Exposure list'!K$5:K$21)-1+MATCH('Exposure list'!$H$3,'Exposure list'!J$5:J$21)-1,0),'Exposure list'!$K$3)</f>
        <v>100</v>
      </c>
      <c r="F20" s="24" t="s">
        <v>16</v>
      </c>
    </row>
    <row r="21" spans="1:12" x14ac:dyDescent="0.25">
      <c r="A21" s="11" t="s">
        <v>1</v>
      </c>
      <c r="B21" s="23" t="s">
        <v>46</v>
      </c>
      <c r="C21" s="24">
        <v>6.3</v>
      </c>
      <c r="D21" s="24">
        <v>100</v>
      </c>
      <c r="E21" s="4">
        <f ca="1">MIN(OFFSET('Exposure list'!$K$5,MATCH(D21,'Exposure list'!K$5:K$21)-1+MATCH('Exposure list'!$H$3,'Exposure list'!J$5:J$21)-1,0),'Exposure list'!$K$3)</f>
        <v>100</v>
      </c>
      <c r="F21" s="24" t="s">
        <v>16</v>
      </c>
    </row>
    <row r="22" spans="1:12" x14ac:dyDescent="0.25">
      <c r="A22" s="11"/>
    </row>
    <row r="23" spans="1:12" x14ac:dyDescent="0.25">
      <c r="A23" s="11"/>
    </row>
    <row r="24" spans="1:12" s="6" customFormat="1" x14ac:dyDescent="0.25">
      <c r="A24" s="8"/>
      <c r="B24" s="6" t="s">
        <v>5</v>
      </c>
      <c r="C24" s="6" t="s">
        <v>13</v>
      </c>
      <c r="D24" s="6" t="s">
        <v>14</v>
      </c>
      <c r="E24" s="6" t="s">
        <v>23</v>
      </c>
      <c r="F24" s="6" t="s">
        <v>15</v>
      </c>
      <c r="G24" s="6" t="s">
        <v>37</v>
      </c>
      <c r="H24" s="6" t="s">
        <v>9</v>
      </c>
      <c r="K24" s="7" t="s">
        <v>26</v>
      </c>
      <c r="L24" s="6" t="s">
        <v>19</v>
      </c>
    </row>
    <row r="25" spans="1:12" s="6" customFormat="1" x14ac:dyDescent="0.25">
      <c r="A25" s="8" t="s">
        <v>78</v>
      </c>
      <c r="B25"/>
      <c r="C25"/>
      <c r="D25"/>
      <c r="E25" s="24">
        <v>3</v>
      </c>
      <c r="F25"/>
      <c r="H25" s="22">
        <f>_xlfn.CEILING.MATH(H26+B5, 0.1)</f>
        <v>14.5</v>
      </c>
      <c r="I25" t="s">
        <v>22</v>
      </c>
      <c r="J25"/>
      <c r="K25">
        <f>B5</f>
        <v>0.5</v>
      </c>
    </row>
    <row r="26" spans="1:12" x14ac:dyDescent="0.25">
      <c r="A26" s="5" t="s">
        <v>81</v>
      </c>
      <c r="B26" t="str">
        <f>B17</f>
        <v>1/100</v>
      </c>
      <c r="C26">
        <f t="shared" ref="C26" si="0">C17</f>
        <v>6.3</v>
      </c>
      <c r="D26" s="4">
        <f ca="1">E17</f>
        <v>100</v>
      </c>
      <c r="F26" t="str">
        <f>F17</f>
        <v>RAW</v>
      </c>
      <c r="G26" s="24">
        <v>8</v>
      </c>
      <c r="H26" s="29">
        <v>14</v>
      </c>
      <c r="I26" t="s">
        <v>22</v>
      </c>
      <c r="K26" s="20">
        <f>G26/C2+G26*B6</f>
        <v>3.4666666666666668</v>
      </c>
    </row>
    <row r="27" spans="1:12" x14ac:dyDescent="0.25">
      <c r="A27" s="5" t="s">
        <v>34</v>
      </c>
      <c r="H27" s="21"/>
      <c r="K27" s="25">
        <v>1</v>
      </c>
    </row>
    <row r="28" spans="1:12" x14ac:dyDescent="0.25">
      <c r="A28" s="5" t="s">
        <v>78</v>
      </c>
      <c r="E28" s="24">
        <v>3</v>
      </c>
      <c r="H28" s="21">
        <f>_xlfn.FLOOR.MATH(H26-K26-K27, 0.1)</f>
        <v>9.5</v>
      </c>
      <c r="K28" s="20">
        <f>B5</f>
        <v>0.5</v>
      </c>
    </row>
    <row r="29" spans="1:12" x14ac:dyDescent="0.25">
      <c r="A29" s="5" t="s">
        <v>82</v>
      </c>
      <c r="B29" t="str">
        <f>B19</f>
        <v>1/4000</v>
      </c>
      <c r="C29">
        <f t="shared" ref="C29" si="1">C19</f>
        <v>6.3</v>
      </c>
      <c r="D29">
        <f ca="1">E19</f>
        <v>100</v>
      </c>
      <c r="F29" t="str">
        <f>F19</f>
        <v>RAW</v>
      </c>
      <c r="G29" s="24">
        <v>2</v>
      </c>
      <c r="H29" s="21">
        <f>_xlfn.FLOOR.MATH(H28-K28, 0.1)</f>
        <v>9</v>
      </c>
      <c r="I29" t="s">
        <v>22</v>
      </c>
      <c r="K29" s="20">
        <f>G29/C2 + K28 + (G29*B6)</f>
        <v>1.3666666666666665</v>
      </c>
    </row>
    <row r="30" spans="1:12" x14ac:dyDescent="0.25">
      <c r="A30" s="5" t="s">
        <v>34</v>
      </c>
      <c r="H30" s="21"/>
      <c r="K30" s="25">
        <v>0.5</v>
      </c>
    </row>
    <row r="31" spans="1:12" x14ac:dyDescent="0.25">
      <c r="A31" s="5" t="s">
        <v>83</v>
      </c>
      <c r="B31" t="str">
        <f>B17</f>
        <v>1/100</v>
      </c>
      <c r="C31">
        <f t="shared" ref="C31" si="2">C17</f>
        <v>6.3</v>
      </c>
      <c r="D31" s="4">
        <f ca="1">E17</f>
        <v>100</v>
      </c>
      <c r="F31" t="str">
        <f>F17</f>
        <v>RAW</v>
      </c>
      <c r="G31" s="24">
        <v>8</v>
      </c>
      <c r="H31" s="21">
        <f>_xlfn.FLOOR.MATH(H29-K29-K30, 0.1)</f>
        <v>7.1000000000000005</v>
      </c>
      <c r="I31" t="s">
        <v>22</v>
      </c>
      <c r="K31" s="20">
        <f>G31/C2+(G31*B6)</f>
        <v>3.4666666666666668</v>
      </c>
    </row>
    <row r="32" spans="1:12" x14ac:dyDescent="0.25">
      <c r="A32" s="5" t="s">
        <v>34</v>
      </c>
      <c r="H32" s="21"/>
      <c r="K32" s="25">
        <v>0.5</v>
      </c>
    </row>
    <row r="33" spans="1:13" x14ac:dyDescent="0.25">
      <c r="A33" s="5" t="s">
        <v>78</v>
      </c>
      <c r="E33" s="24">
        <v>3</v>
      </c>
      <c r="H33" s="21">
        <f>_xlfn.FLOOR.MATH(H31-K31-K32, 0.1)</f>
        <v>3.1</v>
      </c>
      <c r="K33" s="20">
        <f>B5</f>
        <v>0.5</v>
      </c>
    </row>
    <row r="34" spans="1:13" x14ac:dyDescent="0.25">
      <c r="A34" s="5" t="s">
        <v>84</v>
      </c>
      <c r="B34" t="str">
        <f>B19</f>
        <v>1/4000</v>
      </c>
      <c r="C34">
        <f t="shared" ref="C34" si="3">C19</f>
        <v>6.3</v>
      </c>
      <c r="D34">
        <f ca="1">E19</f>
        <v>100</v>
      </c>
      <c r="F34" t="str">
        <f>F19</f>
        <v>RAW</v>
      </c>
      <c r="G34" s="24">
        <v>4</v>
      </c>
      <c r="H34" s="21">
        <f>_xlfn.FLOOR.MATH(H33-K33, 0.1)</f>
        <v>2.6</v>
      </c>
      <c r="I34" t="s">
        <v>22</v>
      </c>
      <c r="K34" s="20">
        <f>G34/C2+0.5+K33 + (G34*B6)</f>
        <v>2.7333333333333329</v>
      </c>
      <c r="L34" s="3">
        <f>H34-K34</f>
        <v>-0.13333333333333286</v>
      </c>
      <c r="M34" t="s">
        <v>104</v>
      </c>
    </row>
    <row r="35" spans="1:13" x14ac:dyDescent="0.25">
      <c r="A35" s="5" t="s">
        <v>8</v>
      </c>
      <c r="H35" s="21"/>
      <c r="K35" s="20"/>
    </row>
    <row r="36" spans="1:13" x14ac:dyDescent="0.25">
      <c r="A36" s="5" t="s">
        <v>34</v>
      </c>
      <c r="H36" s="21"/>
      <c r="K36" s="25">
        <v>0.5</v>
      </c>
    </row>
    <row r="37" spans="1:13" x14ac:dyDescent="0.25">
      <c r="A37" s="5" t="s">
        <v>78</v>
      </c>
      <c r="E37" s="24">
        <v>3</v>
      </c>
      <c r="H37" s="21">
        <f>_xlfn.CEILING.MATH(K36-L34, 0.1)</f>
        <v>0.70000000000000007</v>
      </c>
      <c r="K37" s="20">
        <f>B5</f>
        <v>0.5</v>
      </c>
    </row>
    <row r="38" spans="1:13" x14ac:dyDescent="0.25">
      <c r="A38" s="8" t="s">
        <v>0</v>
      </c>
      <c r="B38" t="str">
        <f>B20</f>
        <v>1/4000</v>
      </c>
      <c r="C38">
        <f t="shared" ref="C38" si="4">C20</f>
        <v>6.3</v>
      </c>
      <c r="D38">
        <f ca="1">E20</f>
        <v>100</v>
      </c>
      <c r="F38" t="str">
        <f>F20</f>
        <v>RAW</v>
      </c>
      <c r="G38" s="24">
        <v>5</v>
      </c>
      <c r="H38" s="21">
        <f>_xlfn.CEILING.MATH(H37+K37, 0.1)</f>
        <v>1.2000000000000002</v>
      </c>
      <c r="I38" t="s">
        <v>38</v>
      </c>
      <c r="K38" s="20">
        <f>G38/C2+K37+(G38*B6)</f>
        <v>2.666666666666667</v>
      </c>
    </row>
    <row r="39" spans="1:13" x14ac:dyDescent="0.25">
      <c r="A39" s="8" t="s">
        <v>34</v>
      </c>
      <c r="H39" s="21"/>
      <c r="K39" s="25">
        <v>1</v>
      </c>
    </row>
    <row r="40" spans="1:13" x14ac:dyDescent="0.25">
      <c r="A40" s="8" t="s">
        <v>1</v>
      </c>
      <c r="B40" t="str">
        <f>B21</f>
        <v>1/2000</v>
      </c>
      <c r="C40">
        <f t="shared" ref="C40" si="5">C21</f>
        <v>6.3</v>
      </c>
      <c r="D40">
        <f ca="1">E21</f>
        <v>100</v>
      </c>
      <c r="F40" t="str">
        <f>F21</f>
        <v>RAW</v>
      </c>
      <c r="G40" s="24">
        <v>3</v>
      </c>
      <c r="H40" s="21">
        <f>_xlfn.CEILING.MATH(H38+K38+K39, 0.1)</f>
        <v>4.9000000000000004</v>
      </c>
      <c r="I40" t="s">
        <v>38</v>
      </c>
      <c r="K40" s="20">
        <f>G40/C2+(B6*G40)</f>
        <v>1.3</v>
      </c>
    </row>
    <row r="41" spans="1:13" x14ac:dyDescent="0.25">
      <c r="A41" s="8" t="s">
        <v>34</v>
      </c>
      <c r="H41" s="21"/>
      <c r="K41" s="25">
        <v>2</v>
      </c>
    </row>
    <row r="42" spans="1:13" x14ac:dyDescent="0.25">
      <c r="A42" s="8" t="s">
        <v>43</v>
      </c>
      <c r="H42" s="21"/>
      <c r="L42">
        <f>_xlfn.CEILING.MATH(H40+K40+K41, 0.1)</f>
        <v>8.2000000000000011</v>
      </c>
      <c r="M42" t="s">
        <v>105</v>
      </c>
    </row>
    <row r="44" spans="1:13" x14ac:dyDescent="0.25">
      <c r="A44" s="9" t="s">
        <v>79</v>
      </c>
    </row>
    <row r="45" spans="1:13" x14ac:dyDescent="0.25">
      <c r="B45" s="6" t="s">
        <v>5</v>
      </c>
      <c r="C45" s="6" t="s">
        <v>13</v>
      </c>
      <c r="D45" s="6" t="s">
        <v>14</v>
      </c>
      <c r="E45" s="6" t="s">
        <v>23</v>
      </c>
      <c r="F45" s="6" t="s">
        <v>15</v>
      </c>
      <c r="G45" s="6" t="s">
        <v>37</v>
      </c>
      <c r="H45" s="6" t="s">
        <v>9</v>
      </c>
      <c r="I45" s="6"/>
      <c r="J45" s="6"/>
      <c r="K45" s="7" t="s">
        <v>26</v>
      </c>
      <c r="L45" s="6" t="s">
        <v>19</v>
      </c>
    </row>
    <row r="46" spans="1:13" x14ac:dyDescent="0.25">
      <c r="A46" s="11" t="s">
        <v>78</v>
      </c>
      <c r="E46" s="28">
        <v>3</v>
      </c>
      <c r="H46" s="29">
        <v>5.5</v>
      </c>
      <c r="I46" t="s">
        <v>85</v>
      </c>
      <c r="K46" s="3">
        <f>B5</f>
        <v>0.5</v>
      </c>
    </row>
    <row r="47" spans="1:13" x14ac:dyDescent="0.25">
      <c r="A47" s="8" t="s">
        <v>1</v>
      </c>
      <c r="B47" t="str">
        <f>B21</f>
        <v>1/2000</v>
      </c>
      <c r="C47">
        <f t="shared" ref="C47" si="6">C21</f>
        <v>6.3</v>
      </c>
      <c r="D47">
        <f ca="1">E21</f>
        <v>100</v>
      </c>
      <c r="E47" s="4"/>
      <c r="F47" t="str">
        <f>F21</f>
        <v>RAW</v>
      </c>
      <c r="G47" s="24">
        <v>3</v>
      </c>
      <c r="H47" s="21">
        <f>_xlfn.FLOOR.MATH(H46-K46, 0.1)</f>
        <v>5</v>
      </c>
      <c r="I47" t="s">
        <v>85</v>
      </c>
      <c r="K47" s="3">
        <f>G47/C2+G47*B6</f>
        <v>1.3</v>
      </c>
    </row>
    <row r="48" spans="1:13" x14ac:dyDescent="0.25">
      <c r="A48" s="5" t="s">
        <v>34</v>
      </c>
      <c r="E48" s="4"/>
      <c r="H48" s="21"/>
      <c r="K48" s="26">
        <v>1</v>
      </c>
    </row>
    <row r="49" spans="1:12" x14ac:dyDescent="0.25">
      <c r="A49" s="5" t="s">
        <v>0</v>
      </c>
      <c r="B49" t="str">
        <f>B20</f>
        <v>1/4000</v>
      </c>
      <c r="C49">
        <f t="shared" ref="C49" si="7">C20</f>
        <v>6.3</v>
      </c>
      <c r="D49">
        <f ca="1">E20</f>
        <v>100</v>
      </c>
      <c r="E49" s="4"/>
      <c r="F49" t="str">
        <f>F20</f>
        <v>RAW</v>
      </c>
      <c r="G49" s="24">
        <v>5</v>
      </c>
      <c r="H49" s="21">
        <f>_xlfn.FLOOR.MATH(H47-K47-K48)</f>
        <v>2</v>
      </c>
      <c r="I49" t="s">
        <v>85</v>
      </c>
      <c r="K49" s="3">
        <f>G49/C2+G49*B6</f>
        <v>2.166666666666667</v>
      </c>
      <c r="L49" s="3">
        <f>H49-K49</f>
        <v>-0.16666666666666696</v>
      </c>
    </row>
    <row r="50" spans="1:12" x14ac:dyDescent="0.25">
      <c r="A50" s="5" t="s">
        <v>41</v>
      </c>
      <c r="E50" s="4"/>
      <c r="H50" s="21"/>
    </row>
    <row r="51" spans="1:12" x14ac:dyDescent="0.25">
      <c r="A51" s="5" t="s">
        <v>34</v>
      </c>
      <c r="E51" s="4"/>
      <c r="H51" s="21"/>
      <c r="K51" s="26">
        <v>0.5</v>
      </c>
    </row>
    <row r="52" spans="1:12" x14ac:dyDescent="0.25">
      <c r="A52" s="5" t="s">
        <v>78</v>
      </c>
      <c r="E52" s="27">
        <v>3</v>
      </c>
      <c r="H52" s="21">
        <f>_xlfn.CEILING.MATH(K51+K52-L49, 0.1)</f>
        <v>1.2000000000000002</v>
      </c>
      <c r="I52" t="s">
        <v>80</v>
      </c>
      <c r="K52" s="3">
        <f>B5</f>
        <v>0.5</v>
      </c>
    </row>
    <row r="53" spans="1:12" x14ac:dyDescent="0.25">
      <c r="A53" s="5" t="s">
        <v>84</v>
      </c>
      <c r="B53" t="str">
        <f>B19</f>
        <v>1/4000</v>
      </c>
      <c r="C53">
        <f t="shared" ref="C53" si="8">C19</f>
        <v>6.3</v>
      </c>
      <c r="D53">
        <f ca="1">E19</f>
        <v>100</v>
      </c>
      <c r="E53" s="4"/>
      <c r="F53" t="str">
        <f>F19</f>
        <v>RAW</v>
      </c>
      <c r="G53" s="24">
        <v>4</v>
      </c>
      <c r="H53" s="21">
        <f>_xlfn.CEILING.MATH(H52+K52, 0.1)</f>
        <v>1.7000000000000002</v>
      </c>
      <c r="I53" t="s">
        <v>80</v>
      </c>
      <c r="K53" s="3">
        <f>G53/C2+G53*B6</f>
        <v>1.7333333333333334</v>
      </c>
    </row>
    <row r="54" spans="1:12" x14ac:dyDescent="0.25">
      <c r="A54" s="5" t="s">
        <v>34</v>
      </c>
      <c r="E54" s="4"/>
      <c r="H54" s="21"/>
      <c r="K54" s="26">
        <v>0.5</v>
      </c>
    </row>
    <row r="55" spans="1:12" x14ac:dyDescent="0.25">
      <c r="A55" s="5" t="s">
        <v>83</v>
      </c>
      <c r="B55" t="str">
        <f>B17</f>
        <v>1/100</v>
      </c>
      <c r="C55">
        <f t="shared" ref="C55" si="9">C17</f>
        <v>6.3</v>
      </c>
      <c r="D55" s="4">
        <f ca="1">E17</f>
        <v>100</v>
      </c>
      <c r="E55" s="4"/>
      <c r="F55" t="str">
        <f>F17</f>
        <v>RAW</v>
      </c>
      <c r="G55" s="24">
        <v>8</v>
      </c>
      <c r="H55" s="21">
        <f>_xlfn.CEILING.MATH(H53+K53+K54, 0.1)</f>
        <v>4</v>
      </c>
      <c r="I55" t="s">
        <v>80</v>
      </c>
      <c r="K55" s="3">
        <f>G55/C2+G55*B6</f>
        <v>3.4666666666666668</v>
      </c>
    </row>
    <row r="56" spans="1:12" x14ac:dyDescent="0.25">
      <c r="A56" s="5" t="s">
        <v>34</v>
      </c>
      <c r="E56" s="4"/>
      <c r="H56" s="21"/>
      <c r="K56" s="26">
        <v>0.5</v>
      </c>
    </row>
    <row r="57" spans="1:12" x14ac:dyDescent="0.25">
      <c r="A57" s="5" t="s">
        <v>78</v>
      </c>
      <c r="E57" s="28">
        <v>3</v>
      </c>
      <c r="H57" s="21">
        <f>_xlfn.CEILING.MATH(H55+K55, 0.1)</f>
        <v>7.5</v>
      </c>
      <c r="I57" t="s">
        <v>80</v>
      </c>
      <c r="K57" s="3">
        <f>B5</f>
        <v>0.5</v>
      </c>
    </row>
    <row r="58" spans="1:12" x14ac:dyDescent="0.25">
      <c r="A58" s="5" t="s">
        <v>82</v>
      </c>
      <c r="B58" t="str">
        <f>B19</f>
        <v>1/4000</v>
      </c>
      <c r="C58">
        <f t="shared" ref="C58" si="10">C19</f>
        <v>6.3</v>
      </c>
      <c r="D58">
        <f ca="1">E19</f>
        <v>100</v>
      </c>
      <c r="E58" s="4"/>
      <c r="F58" t="str">
        <f>F19</f>
        <v>RAW</v>
      </c>
      <c r="G58" s="24">
        <v>2</v>
      </c>
      <c r="H58" s="21">
        <f>_xlfn.CEILING.MATH(H57+K57,0.1)</f>
        <v>8</v>
      </c>
      <c r="I58" t="s">
        <v>80</v>
      </c>
      <c r="K58" s="3">
        <f>G58/C2+G58*B6</f>
        <v>0.8666666666666667</v>
      </c>
    </row>
    <row r="59" spans="1:12" x14ac:dyDescent="0.25">
      <c r="A59" s="5" t="s">
        <v>34</v>
      </c>
      <c r="E59" s="4"/>
      <c r="H59" s="21"/>
      <c r="K59" s="26">
        <v>0.5</v>
      </c>
    </row>
    <row r="60" spans="1:12" x14ac:dyDescent="0.25">
      <c r="A60" s="8" t="s">
        <v>81</v>
      </c>
      <c r="B60" t="str">
        <f>B17</f>
        <v>1/100</v>
      </c>
      <c r="C60">
        <f t="shared" ref="C60" si="11">C17</f>
        <v>6.3</v>
      </c>
      <c r="D60" s="4">
        <f ca="1">E17</f>
        <v>100</v>
      </c>
      <c r="E60" s="4"/>
      <c r="F60" t="str">
        <f>F17</f>
        <v>RAW</v>
      </c>
      <c r="G60" s="24">
        <v>8</v>
      </c>
      <c r="H60" s="21">
        <f>_xlfn.CEILING.MATH(H58+K58+K59, 0.1)</f>
        <v>9.4</v>
      </c>
      <c r="I60" t="s">
        <v>80</v>
      </c>
      <c r="K60" s="3">
        <f>H60/C2+B6*G60</f>
        <v>3.9333333333333336</v>
      </c>
    </row>
    <row r="61" spans="1:12" x14ac:dyDescent="0.25">
      <c r="A61" s="8" t="s">
        <v>34</v>
      </c>
      <c r="B61" s="1"/>
      <c r="C61" s="2"/>
      <c r="D61" s="2"/>
      <c r="E61" s="4"/>
      <c r="H61" s="21"/>
      <c r="K61" s="26">
        <v>2</v>
      </c>
    </row>
    <row r="62" spans="1:12" x14ac:dyDescent="0.25">
      <c r="A62" s="8" t="s">
        <v>86</v>
      </c>
      <c r="B62" s="2"/>
      <c r="C62" s="2"/>
      <c r="D62" s="2"/>
      <c r="E62" s="4"/>
      <c r="F62" s="2"/>
      <c r="H62" s="21"/>
      <c r="L62" s="3">
        <f>H60+K60+K61</f>
        <v>15.333333333333334</v>
      </c>
    </row>
    <row r="65" spans="1:11" x14ac:dyDescent="0.25">
      <c r="A65" s="9" t="s">
        <v>44</v>
      </c>
    </row>
    <row r="66" spans="1:11" x14ac:dyDescent="0.25">
      <c r="A66" t="s">
        <v>66</v>
      </c>
      <c r="B66" s="21">
        <f>B12-(L42+H46)</f>
        <v>101.3</v>
      </c>
      <c r="E66" t="s">
        <v>118</v>
      </c>
      <c r="F66">
        <v>0</v>
      </c>
    </row>
    <row r="67" spans="1:11" s="13" customFormat="1" ht="23.25" customHeight="1" x14ac:dyDescent="0.25">
      <c r="A67" s="12" t="s">
        <v>62</v>
      </c>
      <c r="B67" s="30" t="s">
        <v>60</v>
      </c>
      <c r="C67" s="13" t="s">
        <v>63</v>
      </c>
      <c r="D67" s="13">
        <f>LOOKUP(B67,'Exposure list'!A26:A27,'Exposure list'!B26:B27)</f>
        <v>12</v>
      </c>
      <c r="E67" s="14" t="s">
        <v>77</v>
      </c>
      <c r="F67" s="13">
        <f>LOOKUP(B67,'Exposure list'!A26:A27,'Exposure list'!C26:C27)</f>
        <v>7.2676682692307697</v>
      </c>
      <c r="K67" s="15"/>
    </row>
    <row r="68" spans="1:11" s="13" customFormat="1" ht="18.75" customHeight="1" x14ac:dyDescent="0.25">
      <c r="A68" s="12" t="s">
        <v>67</v>
      </c>
      <c r="B68" s="30">
        <v>14</v>
      </c>
      <c r="C68" s="13" t="s">
        <v>68</v>
      </c>
      <c r="D68" s="13">
        <f>LOOKUP(B68,'Exposure list'!A5:A18,'Exposure list'!C5:C18)</f>
        <v>4</v>
      </c>
      <c r="E68" s="14" t="s">
        <v>69</v>
      </c>
      <c r="F68" s="30">
        <v>1</v>
      </c>
      <c r="G68" s="13" t="s">
        <v>73</v>
      </c>
      <c r="H68" s="13" t="str">
        <f>LOOKUP(B68,'Exposure list'!A5:A18,'Exposure list'!B5:B18)</f>
        <v>4</v>
      </c>
      <c r="I68" s="37" t="s">
        <v>137</v>
      </c>
      <c r="K68" s="15"/>
    </row>
    <row r="69" spans="1:11" x14ac:dyDescent="0.25">
      <c r="A69" s="11" t="s">
        <v>65</v>
      </c>
      <c r="B69" s="24">
        <v>3</v>
      </c>
      <c r="E69" s="17" t="s">
        <v>129</v>
      </c>
      <c r="G69" s="17" t="s">
        <v>130</v>
      </c>
    </row>
    <row r="70" spans="1:11" x14ac:dyDescent="0.25">
      <c r="A70" s="11" t="s">
        <v>112</v>
      </c>
      <c r="B70" s="24">
        <v>1.75</v>
      </c>
      <c r="E70" t="s">
        <v>76</v>
      </c>
      <c r="F70">
        <f>B69*D67+F68</f>
        <v>37</v>
      </c>
      <c r="G70">
        <f>E122</f>
        <v>41</v>
      </c>
    </row>
    <row r="71" spans="1:11" x14ac:dyDescent="0.25">
      <c r="A71" s="11" t="s">
        <v>111</v>
      </c>
      <c r="B71" s="24">
        <v>2.5</v>
      </c>
      <c r="E71" t="s">
        <v>64</v>
      </c>
      <c r="F71" s="21">
        <f>F67*B69+F68*D68</f>
        <v>25.803004807692311</v>
      </c>
      <c r="G71" s="3">
        <f>SUM(G82:G122)</f>
        <v>23.406204807692315</v>
      </c>
    </row>
    <row r="72" spans="1:11" x14ac:dyDescent="0.25">
      <c r="A72" s="8" t="s">
        <v>114</v>
      </c>
      <c r="B72" s="29">
        <f>MAX(G82:G122)+1</f>
        <v>5</v>
      </c>
      <c r="E72" t="s">
        <v>70</v>
      </c>
      <c r="F72" s="21">
        <f>B70*(F70-1)</f>
        <v>63</v>
      </c>
    </row>
    <row r="73" spans="1:11" x14ac:dyDescent="0.25">
      <c r="E73" t="s">
        <v>131</v>
      </c>
      <c r="F73" s="21">
        <f>F71+F72</f>
        <v>88.803004807692304</v>
      </c>
      <c r="G73" s="21">
        <f>K122+G122</f>
        <v>91.906204807692305</v>
      </c>
    </row>
    <row r="76" spans="1:11" x14ac:dyDescent="0.25">
      <c r="A76" s="8" t="s">
        <v>106</v>
      </c>
      <c r="B76">
        <f>L42</f>
        <v>8.2000000000000011</v>
      </c>
      <c r="C76" t="s">
        <v>38</v>
      </c>
      <c r="D76" s="21">
        <f>B77-B76</f>
        <v>4.5000000000000018</v>
      </c>
      <c r="E76" t="s">
        <v>115</v>
      </c>
    </row>
    <row r="77" spans="1:11" x14ac:dyDescent="0.25">
      <c r="A77" s="8" t="s">
        <v>107</v>
      </c>
      <c r="B77" s="21">
        <f>B11+L82</f>
        <v>12.700000000000003</v>
      </c>
      <c r="C77" t="s">
        <v>38</v>
      </c>
      <c r="D77" s="21"/>
    </row>
    <row r="78" spans="1:11" x14ac:dyDescent="0.25">
      <c r="A78" s="8" t="s">
        <v>108</v>
      </c>
      <c r="B78" s="21">
        <f>B11+L122+G122</f>
        <v>104.60079999999999</v>
      </c>
      <c r="C78" t="s">
        <v>38</v>
      </c>
      <c r="D78" s="21">
        <f t="shared" ref="D78" si="12">B79-B78</f>
        <v>4.8992000000000075</v>
      </c>
      <c r="E78" t="s">
        <v>115</v>
      </c>
    </row>
    <row r="79" spans="1:11" x14ac:dyDescent="0.25">
      <c r="A79" s="8" t="s">
        <v>109</v>
      </c>
      <c r="B79" s="21">
        <f>B12-H46</f>
        <v>109.5</v>
      </c>
      <c r="C79" t="s">
        <v>38</v>
      </c>
      <c r="I79" t="s">
        <v>113</v>
      </c>
      <c r="J79" s="21">
        <f>COUNTIF(J82:J122,"N")/(COUNTIF(J82:J122,"Y")+COUNTIF(J82:J122,"N"))*100</f>
        <v>4.8780487804878048</v>
      </c>
      <c r="K79" s="3" t="s">
        <v>116</v>
      </c>
    </row>
    <row r="81" spans="1:13" x14ac:dyDescent="0.25">
      <c r="A81" s="9" t="s">
        <v>75</v>
      </c>
      <c r="D81" s="17" t="s">
        <v>127</v>
      </c>
      <c r="E81" s="17"/>
      <c r="F81" s="17" t="s">
        <v>100</v>
      </c>
      <c r="G81" s="17" t="s">
        <v>100</v>
      </c>
      <c r="H81" s="17" t="s">
        <v>13</v>
      </c>
      <c r="I81" s="17" t="s">
        <v>14</v>
      </c>
      <c r="J81" s="17" t="s">
        <v>110</v>
      </c>
      <c r="K81"/>
      <c r="L81" s="17" t="s">
        <v>9</v>
      </c>
    </row>
    <row r="82" spans="1:13" x14ac:dyDescent="0.25">
      <c r="A82" s="16" t="str">
        <f>'Exposure list'!B17</f>
        <v>4</v>
      </c>
      <c r="B82" s="31">
        <f>'Exposure list'!C17</f>
        <v>4</v>
      </c>
      <c r="C82" s="16">
        <f>'Exposure list'!D17</f>
        <v>6.3</v>
      </c>
      <c r="D82" s="16">
        <f ca="1">'Exposure list'!H17</f>
        <v>100</v>
      </c>
      <c r="E82">
        <v>1</v>
      </c>
      <c r="F82" s="2" t="str">
        <f>'Exposure list'!B5</f>
        <v>1/1250</v>
      </c>
      <c r="G82" s="2">
        <f>'Exposure list'!C5</f>
        <v>8.0000000000000004E-4</v>
      </c>
      <c r="H82" s="2">
        <f>'Exposure list'!D5</f>
        <v>6.3</v>
      </c>
      <c r="I82" s="2">
        <f ca="1">Calcs!E17</f>
        <v>100</v>
      </c>
      <c r="J82" s="28" t="s">
        <v>18</v>
      </c>
      <c r="K82" s="3">
        <v>0</v>
      </c>
      <c r="L82" s="21">
        <f>ROUND(K82-$K$103,1)</f>
        <v>-46.3</v>
      </c>
      <c r="M82" t="str">
        <f>_xlfn.CONCAT("Totality: ", F82)</f>
        <v>Totality: 1/1250</v>
      </c>
    </row>
    <row r="83" spans="1:13" x14ac:dyDescent="0.25">
      <c r="A83" s="16" t="str">
        <f>'Exposure list'!B16</f>
        <v>1.6</v>
      </c>
      <c r="B83" s="31">
        <f>'Exposure list'!C16</f>
        <v>1.6</v>
      </c>
      <c r="C83" s="16">
        <f>'Exposure list'!D16</f>
        <v>6.3</v>
      </c>
      <c r="D83" s="16">
        <f ca="1">'Exposure list'!H16</f>
        <v>100</v>
      </c>
      <c r="E83">
        <v>2</v>
      </c>
      <c r="F83" s="2" t="str">
        <f>'Exposure list'!B6</f>
        <v>1/640</v>
      </c>
      <c r="G83" s="2">
        <f>'Exposure list'!C6</f>
        <v>1.5625000000000001E-3</v>
      </c>
      <c r="H83" s="2">
        <f>'Exposure list'!D6</f>
        <v>6.3</v>
      </c>
      <c r="I83" s="2">
        <f ca="1">'Exposure list'!H6</f>
        <v>100</v>
      </c>
      <c r="J83" s="24" t="s">
        <v>25</v>
      </c>
      <c r="K83" s="3">
        <f>K82+MIN(G82+IF(EXACT(J82,"Y"),$B$70,$B$71),$B$72)</f>
        <v>2.5007999999999999</v>
      </c>
      <c r="L83" s="21">
        <f>ROUND(K83-$K$103,1)</f>
        <v>-43.8</v>
      </c>
      <c r="M83" t="str">
        <f t="shared" ref="M83:M122" si="13">_xlfn.CONCAT("Totality: ", F83)</f>
        <v>Totality: 1/640</v>
      </c>
    </row>
    <row r="84" spans="1:13" x14ac:dyDescent="0.25">
      <c r="A84" s="16" t="str">
        <f>'Exposure list'!B15</f>
        <v>1/1.3</v>
      </c>
      <c r="B84" s="31">
        <f>'Exposure list'!C15</f>
        <v>0.76923076923076916</v>
      </c>
      <c r="C84" s="16">
        <f>'Exposure list'!D15</f>
        <v>6.3</v>
      </c>
      <c r="D84" s="16">
        <f ca="1">'Exposure list'!H15</f>
        <v>100</v>
      </c>
      <c r="E84">
        <v>3</v>
      </c>
      <c r="F84" s="2" t="str">
        <f>'Exposure list'!B8</f>
        <v>1/160</v>
      </c>
      <c r="G84" s="2">
        <f>'Exposure list'!C8</f>
        <v>6.2500000000000003E-3</v>
      </c>
      <c r="H84" s="2">
        <f>'Exposure list'!D8</f>
        <v>6.3</v>
      </c>
      <c r="I84" s="2">
        <f ca="1">'Exposure list'!H8</f>
        <v>100</v>
      </c>
      <c r="J84" s="28" t="s">
        <v>25</v>
      </c>
      <c r="K84" s="3">
        <f t="shared" ref="K84:K122" si="14">K83+MIN(G83+IF(EXACT(J83,"Y"),$B$70,$B$71),$B$72)</f>
        <v>4.2523625000000003</v>
      </c>
      <c r="L84" s="21">
        <f t="shared" ref="L84:L122" si="15">ROUND(K84-$K$103,1)</f>
        <v>-42</v>
      </c>
      <c r="M84" t="str">
        <f t="shared" si="13"/>
        <v>Totality: 1/160</v>
      </c>
    </row>
    <row r="85" spans="1:13" x14ac:dyDescent="0.25">
      <c r="A85" s="16" t="str">
        <f>'Exposure list'!B14</f>
        <v>1/2</v>
      </c>
      <c r="B85" s="31">
        <f>'Exposure list'!C14</f>
        <v>0.5</v>
      </c>
      <c r="C85" s="16">
        <f>'Exposure list'!D14</f>
        <v>6.3</v>
      </c>
      <c r="D85" s="16">
        <f ca="1">'Exposure list'!H14</f>
        <v>100</v>
      </c>
      <c r="E85">
        <v>4</v>
      </c>
      <c r="F85" s="2" t="str">
        <f>A90</f>
        <v>1/80</v>
      </c>
      <c r="G85" s="2">
        <f t="shared" ref="G85:I85" si="16">B90</f>
        <v>1.2500000000000001E-2</v>
      </c>
      <c r="H85" s="2">
        <f t="shared" si="16"/>
        <v>6.3</v>
      </c>
      <c r="I85" s="2">
        <f t="shared" ca="1" si="16"/>
        <v>100</v>
      </c>
      <c r="J85" s="28" t="s">
        <v>25</v>
      </c>
      <c r="K85" s="3">
        <f t="shared" si="14"/>
        <v>6.0086124999999999</v>
      </c>
      <c r="L85" s="21">
        <f t="shared" si="15"/>
        <v>-40.299999999999997</v>
      </c>
      <c r="M85" t="str">
        <f t="shared" si="13"/>
        <v>Totality: 1/80</v>
      </c>
    </row>
    <row r="86" spans="1:13" x14ac:dyDescent="0.25">
      <c r="A86" s="16" t="str">
        <f>'Exposure list'!B13</f>
        <v>1/5</v>
      </c>
      <c r="B86" s="31">
        <f>'Exposure list'!C13</f>
        <v>0.2</v>
      </c>
      <c r="C86" s="16">
        <f>'Exposure list'!D13</f>
        <v>6.3</v>
      </c>
      <c r="D86" s="16">
        <f ca="1">'Exposure list'!H13</f>
        <v>100</v>
      </c>
      <c r="E86">
        <v>5</v>
      </c>
      <c r="F86" s="2" t="str">
        <f>'Exposure list'!B10</f>
        <v>1/40</v>
      </c>
      <c r="G86" s="2">
        <f>'Exposure list'!C10</f>
        <v>2.5000000000000001E-2</v>
      </c>
      <c r="H86" s="2">
        <f>'Exposure list'!D10</f>
        <v>6.3</v>
      </c>
      <c r="I86" s="2">
        <f ca="1">'Exposure list'!H10</f>
        <v>100</v>
      </c>
      <c r="J86" s="28" t="s">
        <v>25</v>
      </c>
      <c r="K86" s="3">
        <f t="shared" si="14"/>
        <v>7.7711125000000001</v>
      </c>
      <c r="L86" s="21">
        <f t="shared" si="15"/>
        <v>-38.5</v>
      </c>
      <c r="M86" t="str">
        <f t="shared" si="13"/>
        <v>Totality: 1/40</v>
      </c>
    </row>
    <row r="87" spans="1:13" x14ac:dyDescent="0.25">
      <c r="A87" s="16" t="str">
        <f>'Exposure list'!B12</f>
        <v>1/10</v>
      </c>
      <c r="B87" s="31">
        <f>'Exposure list'!C12</f>
        <v>0.1</v>
      </c>
      <c r="C87" s="16">
        <f>'Exposure list'!D12</f>
        <v>6.3</v>
      </c>
      <c r="D87" s="16">
        <f ca="1">'Exposure list'!H12</f>
        <v>100</v>
      </c>
      <c r="E87">
        <v>6</v>
      </c>
      <c r="F87" s="2" t="str">
        <f>'Exposure list'!B12</f>
        <v>1/10</v>
      </c>
      <c r="G87" s="2">
        <f>'Exposure list'!C12</f>
        <v>0.1</v>
      </c>
      <c r="H87" s="2">
        <f>'Exposure list'!D12</f>
        <v>6.3</v>
      </c>
      <c r="I87" s="2">
        <f ca="1">'Exposure list'!H12</f>
        <v>100</v>
      </c>
      <c r="J87" s="28" t="s">
        <v>25</v>
      </c>
      <c r="K87" s="3">
        <f t="shared" si="14"/>
        <v>9.5461124999999996</v>
      </c>
      <c r="L87" s="21">
        <f t="shared" si="15"/>
        <v>-36.700000000000003</v>
      </c>
      <c r="M87" t="str">
        <f t="shared" si="13"/>
        <v>Totality: 1/10</v>
      </c>
    </row>
    <row r="88" spans="1:13" x14ac:dyDescent="0.25">
      <c r="A88" s="16" t="str">
        <f>'Exposure list'!B11</f>
        <v>1/20</v>
      </c>
      <c r="B88" s="31">
        <f>'Exposure list'!C11</f>
        <v>0.05</v>
      </c>
      <c r="C88" s="16">
        <f>'Exposure list'!D11</f>
        <v>6.3</v>
      </c>
      <c r="D88" s="16">
        <f ca="1">'Exposure list'!H11</f>
        <v>100</v>
      </c>
      <c r="E88">
        <v>7</v>
      </c>
      <c r="F88" s="2" t="str">
        <f>'Exposure list'!B14</f>
        <v>1/2</v>
      </c>
      <c r="G88" s="2">
        <f>'Exposure list'!C14</f>
        <v>0.5</v>
      </c>
      <c r="H88" s="2">
        <f>'Exposure list'!D14</f>
        <v>6.3</v>
      </c>
      <c r="I88" s="2">
        <f ca="1">'Exposure list'!H14</f>
        <v>100</v>
      </c>
      <c r="J88" s="28" t="s">
        <v>25</v>
      </c>
      <c r="K88" s="3">
        <f t="shared" si="14"/>
        <v>11.396112499999999</v>
      </c>
      <c r="L88" s="21">
        <f t="shared" si="15"/>
        <v>-34.9</v>
      </c>
      <c r="M88" t="str">
        <f t="shared" si="13"/>
        <v>Totality: 1/2</v>
      </c>
    </row>
    <row r="89" spans="1:13" x14ac:dyDescent="0.25">
      <c r="A89" s="16" t="str">
        <f>'Exposure list'!B10</f>
        <v>1/40</v>
      </c>
      <c r="B89" s="31">
        <f>'Exposure list'!C10</f>
        <v>2.5000000000000001E-2</v>
      </c>
      <c r="C89" s="16">
        <f>'Exposure list'!D10</f>
        <v>6.3</v>
      </c>
      <c r="D89" s="16">
        <f ca="1">'Exposure list'!H10</f>
        <v>100</v>
      </c>
      <c r="E89">
        <v>8</v>
      </c>
      <c r="F89" s="2" t="str">
        <f>'Exposure list'!B16</f>
        <v>1.6</v>
      </c>
      <c r="G89" s="2">
        <f>'Exposure list'!C16</f>
        <v>1.6</v>
      </c>
      <c r="H89" s="2">
        <f>'Exposure list'!D16</f>
        <v>6.3</v>
      </c>
      <c r="I89" s="2">
        <f ca="1">'Exposure list'!H16</f>
        <v>100</v>
      </c>
      <c r="J89" s="28" t="s">
        <v>25</v>
      </c>
      <c r="K89" s="3">
        <f t="shared" si="14"/>
        <v>13.646112499999999</v>
      </c>
      <c r="L89" s="21">
        <f t="shared" si="15"/>
        <v>-32.6</v>
      </c>
      <c r="M89" t="str">
        <f t="shared" si="13"/>
        <v>Totality: 1.6</v>
      </c>
    </row>
    <row r="90" spans="1:13" x14ac:dyDescent="0.25">
      <c r="A90" s="16" t="str">
        <f>'Exposure list'!B9</f>
        <v>1/80</v>
      </c>
      <c r="B90" s="31">
        <f>'Exposure list'!C9</f>
        <v>1.2500000000000001E-2</v>
      </c>
      <c r="C90" s="16">
        <f>'Exposure list'!D9</f>
        <v>6.3</v>
      </c>
      <c r="D90" s="16">
        <f ca="1">'Exposure list'!H9</f>
        <v>100</v>
      </c>
      <c r="E90">
        <v>9</v>
      </c>
      <c r="F90" s="2" t="str">
        <f>'Exposure list'!B5</f>
        <v>1/1250</v>
      </c>
      <c r="G90" s="2">
        <f>'Exposure list'!C5</f>
        <v>8.0000000000000004E-4</v>
      </c>
      <c r="H90" s="2">
        <f>'Exposure list'!D5</f>
        <v>6.3</v>
      </c>
      <c r="I90" s="2">
        <f ca="1">Calcs!E17</f>
        <v>100</v>
      </c>
      <c r="J90" s="28" t="s">
        <v>25</v>
      </c>
      <c r="K90" s="3">
        <f t="shared" si="14"/>
        <v>16.996112499999999</v>
      </c>
      <c r="L90" s="21">
        <f t="shared" si="15"/>
        <v>-29.3</v>
      </c>
      <c r="M90" t="str">
        <f t="shared" si="13"/>
        <v>Totality: 1/1250</v>
      </c>
    </row>
    <row r="91" spans="1:13" x14ac:dyDescent="0.25">
      <c r="A91" s="16" t="str">
        <f>'Exposure list'!B8</f>
        <v>1/160</v>
      </c>
      <c r="B91" s="31">
        <f>'Exposure list'!C8</f>
        <v>6.2500000000000003E-3</v>
      </c>
      <c r="C91" s="16">
        <f>'Exposure list'!D8</f>
        <v>6.3</v>
      </c>
      <c r="D91" s="16">
        <f ca="1">'Exposure list'!H8</f>
        <v>100</v>
      </c>
      <c r="E91">
        <v>10</v>
      </c>
      <c r="F91" s="2" t="str">
        <f>'Exposure list'!B6</f>
        <v>1/640</v>
      </c>
      <c r="G91" s="2">
        <f>'Exposure list'!C6</f>
        <v>1.5625000000000001E-3</v>
      </c>
      <c r="H91" s="2">
        <f>'Exposure list'!D6</f>
        <v>6.3</v>
      </c>
      <c r="I91" s="2">
        <f ca="1">'Exposure list'!H6</f>
        <v>100</v>
      </c>
      <c r="J91" s="28" t="s">
        <v>25</v>
      </c>
      <c r="K91" s="3">
        <f t="shared" si="14"/>
        <v>18.746912500000001</v>
      </c>
      <c r="L91" s="21">
        <f t="shared" si="15"/>
        <v>-27.5</v>
      </c>
      <c r="M91" t="str">
        <f t="shared" si="13"/>
        <v>Totality: 1/640</v>
      </c>
    </row>
    <row r="92" spans="1:13" x14ac:dyDescent="0.25">
      <c r="A92" s="16" t="str">
        <f>'Exposure list'!B7</f>
        <v>1/320</v>
      </c>
      <c r="B92" s="31">
        <f>'Exposure list'!C7</f>
        <v>3.1250000000000002E-3</v>
      </c>
      <c r="C92" s="16">
        <f>'Exposure list'!D7</f>
        <v>6.3</v>
      </c>
      <c r="D92" s="16">
        <f ca="1">'Exposure list'!H7</f>
        <v>100</v>
      </c>
      <c r="E92">
        <v>11</v>
      </c>
      <c r="F92" s="2" t="str">
        <f>'Exposure list'!B7</f>
        <v>1/320</v>
      </c>
      <c r="G92" s="2">
        <f>'Exposure list'!C7</f>
        <v>3.1250000000000002E-3</v>
      </c>
      <c r="H92" s="2">
        <f>'Exposure list'!D7</f>
        <v>6.3</v>
      </c>
      <c r="I92" s="2">
        <f ca="1">'Exposure list'!H7</f>
        <v>100</v>
      </c>
      <c r="J92" s="28" t="s">
        <v>25</v>
      </c>
      <c r="K92" s="3">
        <f t="shared" si="14"/>
        <v>20.498474999999999</v>
      </c>
      <c r="L92" s="21">
        <f t="shared" si="15"/>
        <v>-25.8</v>
      </c>
      <c r="M92" t="str">
        <f t="shared" si="13"/>
        <v>Totality: 1/320</v>
      </c>
    </row>
    <row r="93" spans="1:13" x14ac:dyDescent="0.25">
      <c r="A93" s="16" t="str">
        <f>'Exposure list'!B6</f>
        <v>1/640</v>
      </c>
      <c r="B93" s="31">
        <f>'Exposure list'!C6</f>
        <v>1.5625000000000001E-3</v>
      </c>
      <c r="C93" s="16">
        <f>'Exposure list'!D6</f>
        <v>6.3</v>
      </c>
      <c r="D93" s="16">
        <f ca="1">'Exposure list'!H6</f>
        <v>100</v>
      </c>
      <c r="E93">
        <v>12</v>
      </c>
      <c r="F93" s="2" t="str">
        <f>'Exposure list'!B8</f>
        <v>1/160</v>
      </c>
      <c r="G93" s="2">
        <f>'Exposure list'!C8</f>
        <v>6.2500000000000003E-3</v>
      </c>
      <c r="H93" s="2">
        <f>'Exposure list'!D8</f>
        <v>6.3</v>
      </c>
      <c r="I93" s="2">
        <f ca="1">'Exposure list'!H8</f>
        <v>100</v>
      </c>
      <c r="J93" s="28" t="s">
        <v>25</v>
      </c>
      <c r="K93" s="3">
        <f t="shared" si="14"/>
        <v>22.2516</v>
      </c>
      <c r="L93" s="21">
        <f t="shared" si="15"/>
        <v>-24</v>
      </c>
      <c r="M93" t="str">
        <f t="shared" si="13"/>
        <v>Totality: 1/160</v>
      </c>
    </row>
    <row r="94" spans="1:13" x14ac:dyDescent="0.25">
      <c r="A94" s="16" t="str">
        <f>'Exposure list'!B5</f>
        <v>1/1250</v>
      </c>
      <c r="B94" s="31">
        <f>'Exposure list'!C5</f>
        <v>8.0000000000000004E-4</v>
      </c>
      <c r="C94" s="16">
        <f>'Exposure list'!D5</f>
        <v>6.3</v>
      </c>
      <c r="D94" s="16">
        <f ca="1">Calcs!E17</f>
        <v>100</v>
      </c>
      <c r="E94">
        <v>13</v>
      </c>
      <c r="F94" s="2" t="str">
        <f>'Exposure list'!B9</f>
        <v>1/80</v>
      </c>
      <c r="G94" s="2">
        <f>'Exposure list'!C9</f>
        <v>1.2500000000000001E-2</v>
      </c>
      <c r="H94" s="2">
        <f>'Exposure list'!D9</f>
        <v>6.3</v>
      </c>
      <c r="I94" s="2">
        <f ca="1">'Exposure list'!H9</f>
        <v>100</v>
      </c>
      <c r="J94" s="28" t="s">
        <v>25</v>
      </c>
      <c r="K94" s="3">
        <f t="shared" si="14"/>
        <v>24.007850000000001</v>
      </c>
      <c r="L94" s="21">
        <f t="shared" si="15"/>
        <v>-22.3</v>
      </c>
      <c r="M94" t="str">
        <f t="shared" si="13"/>
        <v>Totality: 1/80</v>
      </c>
    </row>
    <row r="95" spans="1:13" x14ac:dyDescent="0.25">
      <c r="A95" s="18"/>
      <c r="E95">
        <f>E94+1</f>
        <v>14</v>
      </c>
      <c r="F95" s="2" t="str">
        <f>'Exposure list'!B10</f>
        <v>1/40</v>
      </c>
      <c r="G95" s="2">
        <f>'Exposure list'!C10</f>
        <v>2.5000000000000001E-2</v>
      </c>
      <c r="H95" s="2">
        <f>'Exposure list'!D10</f>
        <v>6.3</v>
      </c>
      <c r="I95" s="2">
        <f ca="1">'Exposure list'!H10</f>
        <v>100</v>
      </c>
      <c r="J95" s="28" t="s">
        <v>25</v>
      </c>
      <c r="K95" s="3">
        <f t="shared" si="14"/>
        <v>25.770350000000001</v>
      </c>
      <c r="L95" s="21">
        <f t="shared" si="15"/>
        <v>-20.5</v>
      </c>
      <c r="M95" t="str">
        <f t="shared" si="13"/>
        <v>Totality: 1/40</v>
      </c>
    </row>
    <row r="96" spans="1:13" x14ac:dyDescent="0.25">
      <c r="A96" s="16"/>
      <c r="E96">
        <f>E95+1</f>
        <v>15</v>
      </c>
      <c r="F96" s="2" t="str">
        <f>'Exposure list'!B11</f>
        <v>1/20</v>
      </c>
      <c r="G96" s="2">
        <f>'Exposure list'!C11</f>
        <v>0.05</v>
      </c>
      <c r="H96" s="2">
        <f>'Exposure list'!D11</f>
        <v>6.3</v>
      </c>
      <c r="I96" s="2">
        <f ca="1">'Exposure list'!H11</f>
        <v>100</v>
      </c>
      <c r="J96" s="28" t="s">
        <v>25</v>
      </c>
      <c r="K96" s="3">
        <f t="shared" si="14"/>
        <v>27.545349999999999</v>
      </c>
      <c r="L96" s="21">
        <f t="shared" si="15"/>
        <v>-18.7</v>
      </c>
      <c r="M96" t="str">
        <f t="shared" si="13"/>
        <v>Totality: 1/20</v>
      </c>
    </row>
    <row r="97" spans="1:13" x14ac:dyDescent="0.25">
      <c r="A97" s="16"/>
      <c r="E97">
        <f t="shared" ref="E97:E103" si="17">E96+1</f>
        <v>16</v>
      </c>
      <c r="F97" s="2" t="str">
        <f>'Exposure list'!B12</f>
        <v>1/10</v>
      </c>
      <c r="G97" s="2">
        <f>'Exposure list'!C12</f>
        <v>0.1</v>
      </c>
      <c r="H97" s="2">
        <f>'Exposure list'!D12</f>
        <v>6.3</v>
      </c>
      <c r="I97" s="2">
        <f ca="1">'Exposure list'!H12</f>
        <v>100</v>
      </c>
      <c r="J97" s="28" t="s">
        <v>25</v>
      </c>
      <c r="K97" s="3">
        <f t="shared" si="14"/>
        <v>29.34535</v>
      </c>
      <c r="L97" s="21">
        <f t="shared" si="15"/>
        <v>-16.899999999999999</v>
      </c>
      <c r="M97" t="str">
        <f t="shared" si="13"/>
        <v>Totality: 1/10</v>
      </c>
    </row>
    <row r="98" spans="1:13" x14ac:dyDescent="0.25">
      <c r="A98" s="16"/>
      <c r="E98">
        <f t="shared" si="17"/>
        <v>17</v>
      </c>
      <c r="F98" s="2" t="str">
        <f>'Exposure list'!B13</f>
        <v>1/5</v>
      </c>
      <c r="G98" s="2">
        <f>'Exposure list'!C13</f>
        <v>0.2</v>
      </c>
      <c r="H98" s="2">
        <f>'Exposure list'!D13</f>
        <v>6.3</v>
      </c>
      <c r="I98" s="2">
        <f ca="1">'Exposure list'!H13</f>
        <v>100</v>
      </c>
      <c r="J98" s="28" t="s">
        <v>25</v>
      </c>
      <c r="K98" s="3">
        <f t="shared" si="14"/>
        <v>31.195350000000001</v>
      </c>
      <c r="L98" s="21">
        <f t="shared" si="15"/>
        <v>-15.1</v>
      </c>
      <c r="M98" t="str">
        <f t="shared" si="13"/>
        <v>Totality: 1/5</v>
      </c>
    </row>
    <row r="99" spans="1:13" x14ac:dyDescent="0.25">
      <c r="A99" s="16"/>
      <c r="E99">
        <f t="shared" si="17"/>
        <v>18</v>
      </c>
      <c r="F99" s="2" t="str">
        <f>'Exposure list'!B14</f>
        <v>1/2</v>
      </c>
      <c r="G99" s="2">
        <f>'Exposure list'!C14</f>
        <v>0.5</v>
      </c>
      <c r="H99" s="2">
        <f>'Exposure list'!D14</f>
        <v>6.3</v>
      </c>
      <c r="I99" s="2">
        <f ca="1">'Exposure list'!H14</f>
        <v>100</v>
      </c>
      <c r="J99" s="28" t="s">
        <v>25</v>
      </c>
      <c r="K99" s="3">
        <f t="shared" si="14"/>
        <v>33.145350000000001</v>
      </c>
      <c r="L99" s="21">
        <f t="shared" si="15"/>
        <v>-13.1</v>
      </c>
      <c r="M99" t="str">
        <f t="shared" si="13"/>
        <v>Totality: 1/2</v>
      </c>
    </row>
    <row r="100" spans="1:13" x14ac:dyDescent="0.25">
      <c r="A100" s="16"/>
      <c r="E100">
        <f t="shared" si="17"/>
        <v>19</v>
      </c>
      <c r="F100" s="2" t="str">
        <f>'Exposure list'!B15</f>
        <v>1/1.3</v>
      </c>
      <c r="G100" s="2">
        <f>'Exposure list'!C15</f>
        <v>0.76923076923076916</v>
      </c>
      <c r="H100" s="2">
        <f>'Exposure list'!D15</f>
        <v>6.3</v>
      </c>
      <c r="I100" s="2">
        <f ca="1">'Exposure list'!H15</f>
        <v>100</v>
      </c>
      <c r="J100" s="28" t="s">
        <v>25</v>
      </c>
      <c r="K100" s="3">
        <f t="shared" si="14"/>
        <v>35.395350000000001</v>
      </c>
      <c r="L100" s="21">
        <f t="shared" si="15"/>
        <v>-10.9</v>
      </c>
      <c r="M100" t="str">
        <f t="shared" si="13"/>
        <v>Totality: 1/1.3</v>
      </c>
    </row>
    <row r="101" spans="1:13" x14ac:dyDescent="0.25">
      <c r="A101" s="16"/>
      <c r="E101">
        <f t="shared" si="17"/>
        <v>20</v>
      </c>
      <c r="F101" s="2" t="str">
        <f>'Exposure list'!B16</f>
        <v>1.6</v>
      </c>
      <c r="G101" s="2">
        <f>'Exposure list'!C16</f>
        <v>1.6</v>
      </c>
      <c r="H101" s="2">
        <f>'Exposure list'!D16</f>
        <v>6.3</v>
      </c>
      <c r="I101" s="2">
        <f ca="1">'Exposure list'!H16</f>
        <v>100</v>
      </c>
      <c r="J101" s="28" t="s">
        <v>25</v>
      </c>
      <c r="K101" s="3">
        <f t="shared" si="14"/>
        <v>37.914580769230767</v>
      </c>
      <c r="L101" s="21">
        <f t="shared" si="15"/>
        <v>-8.4</v>
      </c>
      <c r="M101" t="str">
        <f t="shared" si="13"/>
        <v>Totality: 1.6</v>
      </c>
    </row>
    <row r="102" spans="1:13" x14ac:dyDescent="0.25">
      <c r="A102" s="16"/>
      <c r="E102">
        <f t="shared" si="17"/>
        <v>21</v>
      </c>
      <c r="F102" s="2" t="str">
        <f>'Exposure list'!B17</f>
        <v>4</v>
      </c>
      <c r="G102" s="2">
        <f>'Exposure list'!C17</f>
        <v>4</v>
      </c>
      <c r="H102" s="2">
        <f>'Exposure list'!D17</f>
        <v>6.3</v>
      </c>
      <c r="I102" s="2">
        <f ca="1">'Exposure list'!H17</f>
        <v>100</v>
      </c>
      <c r="J102" s="28" t="s">
        <v>25</v>
      </c>
      <c r="K102" s="3">
        <f t="shared" si="14"/>
        <v>41.264580769230768</v>
      </c>
      <c r="L102" s="21">
        <f t="shared" si="15"/>
        <v>-5</v>
      </c>
      <c r="M102" t="str">
        <f t="shared" si="13"/>
        <v>Totality: 4</v>
      </c>
    </row>
    <row r="103" spans="1:13" x14ac:dyDescent="0.25">
      <c r="A103" s="16"/>
      <c r="E103">
        <f t="shared" si="17"/>
        <v>22</v>
      </c>
      <c r="F103" s="2" t="str">
        <f>'Exposure list'!B18</f>
        <v>4</v>
      </c>
      <c r="G103" s="2">
        <f>'Exposure list'!C18</f>
        <v>4</v>
      </c>
      <c r="H103" s="2">
        <f>'Exposure list'!D18</f>
        <v>6.3</v>
      </c>
      <c r="I103" s="2">
        <f ca="1">'Exposure list'!H18</f>
        <v>200</v>
      </c>
      <c r="J103" s="28" t="s">
        <v>25</v>
      </c>
      <c r="K103" s="3">
        <f t="shared" si="14"/>
        <v>46.264580769230768</v>
      </c>
      <c r="L103" s="21">
        <f t="shared" si="15"/>
        <v>0</v>
      </c>
      <c r="M103" t="str">
        <f t="shared" si="13"/>
        <v>Totality: 4</v>
      </c>
    </row>
    <row r="104" spans="1:13" x14ac:dyDescent="0.25">
      <c r="A104" s="16"/>
      <c r="E104">
        <f>E103+1</f>
        <v>23</v>
      </c>
      <c r="F104" s="2" t="str">
        <f>'Exposure list'!B23</f>
        <v>4</v>
      </c>
      <c r="G104" s="2">
        <f>'Exposure list'!C23</f>
        <v>4</v>
      </c>
      <c r="H104" s="2">
        <f>'Exposure list'!D23</f>
        <v>6.3</v>
      </c>
      <c r="I104" s="2">
        <f ca="1">'Exposure list'!H23</f>
        <v>400</v>
      </c>
      <c r="J104" s="28" t="s">
        <v>25</v>
      </c>
      <c r="K104" s="3">
        <f t="shared" si="14"/>
        <v>51.264580769230768</v>
      </c>
      <c r="L104" s="21">
        <f t="shared" si="15"/>
        <v>5</v>
      </c>
      <c r="M104" t="str">
        <f t="shared" si="13"/>
        <v>Totality: 4</v>
      </c>
    </row>
    <row r="105" spans="1:13" x14ac:dyDescent="0.25">
      <c r="A105" s="16"/>
      <c r="E105">
        <f>E104+1</f>
        <v>24</v>
      </c>
      <c r="F105" s="2" t="str">
        <f>'Exposure list'!B22</f>
        <v>1.6</v>
      </c>
      <c r="G105" s="2">
        <f>'Exposure list'!C22</f>
        <v>1.6</v>
      </c>
      <c r="H105" s="2">
        <f>'Exposure list'!D22</f>
        <v>6.3</v>
      </c>
      <c r="I105" s="2">
        <f ca="1">'Exposure list'!H22</f>
        <v>200</v>
      </c>
      <c r="J105" s="28" t="s">
        <v>25</v>
      </c>
      <c r="K105" s="3">
        <f t="shared" si="14"/>
        <v>56.264580769230768</v>
      </c>
      <c r="L105" s="21">
        <f t="shared" si="15"/>
        <v>10</v>
      </c>
      <c r="M105" t="str">
        <f t="shared" si="13"/>
        <v>Totality: 1.6</v>
      </c>
    </row>
    <row r="106" spans="1:13" x14ac:dyDescent="0.25">
      <c r="A106" s="16"/>
      <c r="E106">
        <f t="shared" ref="E106:E122" si="18">E105+1</f>
        <v>25</v>
      </c>
      <c r="F106" s="2" t="str">
        <f t="shared" ref="F106:F117" si="19">A83</f>
        <v>1.6</v>
      </c>
      <c r="G106" s="2">
        <f t="shared" ref="G106:I106" si="20">B83</f>
        <v>1.6</v>
      </c>
      <c r="H106" s="2">
        <f t="shared" si="20"/>
        <v>6.3</v>
      </c>
      <c r="I106" s="2">
        <f t="shared" ca="1" si="20"/>
        <v>100</v>
      </c>
      <c r="J106" s="28" t="s">
        <v>25</v>
      </c>
      <c r="K106" s="3">
        <f t="shared" si="14"/>
        <v>59.61458076923077</v>
      </c>
      <c r="L106" s="21">
        <f t="shared" si="15"/>
        <v>13.4</v>
      </c>
      <c r="M106" t="str">
        <f t="shared" si="13"/>
        <v>Totality: 1.6</v>
      </c>
    </row>
    <row r="107" spans="1:13" x14ac:dyDescent="0.25">
      <c r="A107" s="16"/>
      <c r="E107">
        <f t="shared" si="18"/>
        <v>26</v>
      </c>
      <c r="F107" s="2" t="str">
        <f t="shared" si="19"/>
        <v>1/1.3</v>
      </c>
      <c r="G107" s="2">
        <f t="shared" ref="G107:I107" si="21">B84</f>
        <v>0.76923076923076916</v>
      </c>
      <c r="H107" s="2">
        <f t="shared" si="21"/>
        <v>6.3</v>
      </c>
      <c r="I107" s="2">
        <f t="shared" ca="1" si="21"/>
        <v>100</v>
      </c>
      <c r="J107" s="28" t="s">
        <v>25</v>
      </c>
      <c r="K107" s="3">
        <f t="shared" si="14"/>
        <v>62.964580769230771</v>
      </c>
      <c r="L107" s="21">
        <f t="shared" si="15"/>
        <v>16.7</v>
      </c>
      <c r="M107" t="str">
        <f t="shared" si="13"/>
        <v>Totality: 1/1.3</v>
      </c>
    </row>
    <row r="108" spans="1:13" x14ac:dyDescent="0.25">
      <c r="E108">
        <f t="shared" si="18"/>
        <v>27</v>
      </c>
      <c r="F108" s="2" t="str">
        <f t="shared" si="19"/>
        <v>1/2</v>
      </c>
      <c r="G108" s="2">
        <f t="shared" ref="G108:I108" si="22">B85</f>
        <v>0.5</v>
      </c>
      <c r="H108" s="2">
        <f t="shared" si="22"/>
        <v>6.3</v>
      </c>
      <c r="I108" s="2">
        <f t="shared" ca="1" si="22"/>
        <v>100</v>
      </c>
      <c r="J108" s="28" t="s">
        <v>25</v>
      </c>
      <c r="K108" s="3">
        <f t="shared" si="14"/>
        <v>65.483811538461538</v>
      </c>
      <c r="L108" s="21">
        <f t="shared" si="15"/>
        <v>19.2</v>
      </c>
      <c r="M108" t="str">
        <f t="shared" si="13"/>
        <v>Totality: 1/2</v>
      </c>
    </row>
    <row r="109" spans="1:13" x14ac:dyDescent="0.25">
      <c r="A109" s="19"/>
      <c r="E109">
        <f t="shared" si="18"/>
        <v>28</v>
      </c>
      <c r="F109" s="2" t="str">
        <f t="shared" si="19"/>
        <v>1/5</v>
      </c>
      <c r="G109" s="2">
        <f t="shared" ref="G109:I109" si="23">B86</f>
        <v>0.2</v>
      </c>
      <c r="H109" s="2">
        <f t="shared" si="23"/>
        <v>6.3</v>
      </c>
      <c r="I109" s="2">
        <f t="shared" ca="1" si="23"/>
        <v>100</v>
      </c>
      <c r="J109" s="28" t="s">
        <v>25</v>
      </c>
      <c r="K109" s="3">
        <f t="shared" si="14"/>
        <v>67.733811538461538</v>
      </c>
      <c r="L109" s="21">
        <f t="shared" si="15"/>
        <v>21.5</v>
      </c>
      <c r="M109" t="str">
        <f t="shared" si="13"/>
        <v>Totality: 1/5</v>
      </c>
    </row>
    <row r="110" spans="1:13" x14ac:dyDescent="0.25">
      <c r="E110">
        <f t="shared" si="18"/>
        <v>29</v>
      </c>
      <c r="F110" s="2" t="str">
        <f t="shared" si="19"/>
        <v>1/10</v>
      </c>
      <c r="G110" s="2">
        <f t="shared" ref="G110:I110" si="24">B87</f>
        <v>0.1</v>
      </c>
      <c r="H110" s="2">
        <f t="shared" si="24"/>
        <v>6.3</v>
      </c>
      <c r="I110" s="2">
        <f t="shared" ca="1" si="24"/>
        <v>100</v>
      </c>
      <c r="J110" s="28" t="s">
        <v>25</v>
      </c>
      <c r="K110" s="3">
        <f t="shared" si="14"/>
        <v>69.683811538461541</v>
      </c>
      <c r="L110" s="21">
        <f t="shared" si="15"/>
        <v>23.4</v>
      </c>
      <c r="M110" t="str">
        <f t="shared" si="13"/>
        <v>Totality: 1/10</v>
      </c>
    </row>
    <row r="111" spans="1:13" x14ac:dyDescent="0.25">
      <c r="E111">
        <f t="shared" si="18"/>
        <v>30</v>
      </c>
      <c r="F111" s="2" t="str">
        <f t="shared" si="19"/>
        <v>1/20</v>
      </c>
      <c r="G111" s="2">
        <f t="shared" ref="G111:I111" si="25">B88</f>
        <v>0.05</v>
      </c>
      <c r="H111" s="2">
        <f t="shared" si="25"/>
        <v>6.3</v>
      </c>
      <c r="I111" s="2">
        <f t="shared" ca="1" si="25"/>
        <v>100</v>
      </c>
      <c r="J111" s="28" t="s">
        <v>25</v>
      </c>
      <c r="K111" s="3">
        <f t="shared" si="14"/>
        <v>71.533811538461535</v>
      </c>
      <c r="L111" s="21">
        <f t="shared" si="15"/>
        <v>25.3</v>
      </c>
      <c r="M111" t="str">
        <f t="shared" si="13"/>
        <v>Totality: 1/20</v>
      </c>
    </row>
    <row r="112" spans="1:13" x14ac:dyDescent="0.25">
      <c r="A112" s="19"/>
      <c r="E112">
        <f t="shared" si="18"/>
        <v>31</v>
      </c>
      <c r="F112" s="2" t="str">
        <f t="shared" si="19"/>
        <v>1/40</v>
      </c>
      <c r="G112" s="2">
        <f t="shared" ref="G112:I112" si="26">B89</f>
        <v>2.5000000000000001E-2</v>
      </c>
      <c r="H112" s="2">
        <f t="shared" si="26"/>
        <v>6.3</v>
      </c>
      <c r="I112" s="2">
        <f t="shared" ca="1" si="26"/>
        <v>100</v>
      </c>
      <c r="J112" s="28" t="s">
        <v>25</v>
      </c>
      <c r="K112" s="3">
        <f t="shared" si="14"/>
        <v>73.333811538461532</v>
      </c>
      <c r="L112" s="21">
        <f t="shared" si="15"/>
        <v>27.1</v>
      </c>
      <c r="M112" t="str">
        <f t="shared" si="13"/>
        <v>Totality: 1/40</v>
      </c>
    </row>
    <row r="113" spans="1:13" x14ac:dyDescent="0.25">
      <c r="E113">
        <f t="shared" si="18"/>
        <v>32</v>
      </c>
      <c r="F113" s="2" t="str">
        <f t="shared" si="19"/>
        <v>1/80</v>
      </c>
      <c r="G113" s="2">
        <f t="shared" ref="G113:I113" si="27">B90</f>
        <v>1.2500000000000001E-2</v>
      </c>
      <c r="H113" s="2">
        <f t="shared" si="27"/>
        <v>6.3</v>
      </c>
      <c r="I113" s="2">
        <f t="shared" ca="1" si="27"/>
        <v>100</v>
      </c>
      <c r="J113" s="28" t="s">
        <v>25</v>
      </c>
      <c r="K113" s="3">
        <f t="shared" si="14"/>
        <v>75.108811538461538</v>
      </c>
      <c r="L113" s="21">
        <f t="shared" si="15"/>
        <v>28.8</v>
      </c>
      <c r="M113" t="str">
        <f t="shared" si="13"/>
        <v>Totality: 1/80</v>
      </c>
    </row>
    <row r="114" spans="1:13" x14ac:dyDescent="0.25">
      <c r="E114">
        <f t="shared" si="18"/>
        <v>33</v>
      </c>
      <c r="F114" s="2" t="str">
        <f t="shared" si="19"/>
        <v>1/160</v>
      </c>
      <c r="G114" s="2">
        <f t="shared" ref="G114:I114" si="28">B91</f>
        <v>6.2500000000000003E-3</v>
      </c>
      <c r="H114" s="2">
        <f t="shared" si="28"/>
        <v>6.3</v>
      </c>
      <c r="I114" s="2">
        <f t="shared" ca="1" si="28"/>
        <v>100</v>
      </c>
      <c r="J114" s="28" t="s">
        <v>25</v>
      </c>
      <c r="K114" s="3">
        <f t="shared" si="14"/>
        <v>76.871311538461541</v>
      </c>
      <c r="L114" s="21">
        <f t="shared" si="15"/>
        <v>30.6</v>
      </c>
      <c r="M114" t="str">
        <f t="shared" si="13"/>
        <v>Totality: 1/160</v>
      </c>
    </row>
    <row r="115" spans="1:13" x14ac:dyDescent="0.25">
      <c r="E115">
        <f t="shared" si="18"/>
        <v>34</v>
      </c>
      <c r="F115" s="2" t="str">
        <f t="shared" si="19"/>
        <v>1/320</v>
      </c>
      <c r="G115" s="2">
        <f t="shared" ref="G115:I115" si="29">B92</f>
        <v>3.1250000000000002E-3</v>
      </c>
      <c r="H115" s="2">
        <f t="shared" si="29"/>
        <v>6.3</v>
      </c>
      <c r="I115" s="2">
        <f t="shared" ca="1" si="29"/>
        <v>100</v>
      </c>
      <c r="J115" s="28" t="s">
        <v>25</v>
      </c>
      <c r="K115" s="3">
        <f t="shared" si="14"/>
        <v>78.627561538461535</v>
      </c>
      <c r="L115" s="21">
        <f t="shared" si="15"/>
        <v>32.4</v>
      </c>
      <c r="M115" t="str">
        <f t="shared" si="13"/>
        <v>Totality: 1/320</v>
      </c>
    </row>
    <row r="116" spans="1:13" x14ac:dyDescent="0.25">
      <c r="E116">
        <f t="shared" si="18"/>
        <v>35</v>
      </c>
      <c r="F116" s="2" t="str">
        <f t="shared" si="19"/>
        <v>1/640</v>
      </c>
      <c r="G116" s="2">
        <f t="shared" ref="G116:I116" si="30">B93</f>
        <v>1.5625000000000001E-3</v>
      </c>
      <c r="H116" s="2">
        <f t="shared" si="30"/>
        <v>6.3</v>
      </c>
      <c r="I116" s="2">
        <f t="shared" ca="1" si="30"/>
        <v>100</v>
      </c>
      <c r="J116" s="28" t="s">
        <v>25</v>
      </c>
      <c r="K116" s="3">
        <f t="shared" si="14"/>
        <v>80.380686538461532</v>
      </c>
      <c r="L116" s="21">
        <f t="shared" si="15"/>
        <v>34.1</v>
      </c>
      <c r="M116" t="str">
        <f t="shared" si="13"/>
        <v>Totality: 1/640</v>
      </c>
    </row>
    <row r="117" spans="1:13" x14ac:dyDescent="0.25">
      <c r="E117">
        <f t="shared" si="18"/>
        <v>36</v>
      </c>
      <c r="F117" s="2" t="str">
        <f t="shared" si="19"/>
        <v>1/1250</v>
      </c>
      <c r="G117" s="2">
        <f t="shared" ref="G117:I117" si="31">B94</f>
        <v>8.0000000000000004E-4</v>
      </c>
      <c r="H117" s="2">
        <f t="shared" si="31"/>
        <v>6.3</v>
      </c>
      <c r="I117" s="2">
        <f t="shared" ca="1" si="31"/>
        <v>100</v>
      </c>
      <c r="J117" s="28" t="s">
        <v>25</v>
      </c>
      <c r="K117" s="3">
        <f t="shared" si="14"/>
        <v>82.132249038461538</v>
      </c>
      <c r="L117" s="21">
        <f t="shared" si="15"/>
        <v>35.9</v>
      </c>
      <c r="M117" t="str">
        <f t="shared" si="13"/>
        <v>Totality: 1/1250</v>
      </c>
    </row>
    <row r="118" spans="1:13" x14ac:dyDescent="0.25">
      <c r="E118">
        <f t="shared" si="18"/>
        <v>37</v>
      </c>
      <c r="F118" s="2" t="str">
        <f>A84</f>
        <v>1/1.3</v>
      </c>
      <c r="G118" s="2">
        <f t="shared" ref="G118:I118" si="32">B84</f>
        <v>0.76923076923076916</v>
      </c>
      <c r="H118" s="2">
        <f t="shared" si="32"/>
        <v>6.3</v>
      </c>
      <c r="I118" s="2">
        <f t="shared" ca="1" si="32"/>
        <v>100</v>
      </c>
      <c r="J118" s="28" t="s">
        <v>25</v>
      </c>
      <c r="K118" s="3">
        <f t="shared" si="14"/>
        <v>83.883049038461536</v>
      </c>
      <c r="L118" s="21">
        <f t="shared" si="15"/>
        <v>37.6</v>
      </c>
      <c r="M118" t="str">
        <f t="shared" si="13"/>
        <v>Totality: 1/1.3</v>
      </c>
    </row>
    <row r="119" spans="1:13" x14ac:dyDescent="0.25">
      <c r="E119">
        <f t="shared" si="18"/>
        <v>38</v>
      </c>
      <c r="F119" s="2" t="str">
        <f>A86</f>
        <v>1/5</v>
      </c>
      <c r="G119" s="2">
        <f t="shared" ref="G119:I119" si="33">B86</f>
        <v>0.2</v>
      </c>
      <c r="H119" s="2">
        <f t="shared" si="33"/>
        <v>6.3</v>
      </c>
      <c r="I119" s="2">
        <f t="shared" ca="1" si="33"/>
        <v>100</v>
      </c>
      <c r="J119" s="28" t="s">
        <v>25</v>
      </c>
      <c r="K119" s="3">
        <f t="shared" si="14"/>
        <v>86.40227980769231</v>
      </c>
      <c r="L119" s="21">
        <f t="shared" si="15"/>
        <v>40.1</v>
      </c>
      <c r="M119" t="str">
        <f t="shared" si="13"/>
        <v>Totality: 1/5</v>
      </c>
    </row>
    <row r="120" spans="1:13" x14ac:dyDescent="0.25">
      <c r="E120">
        <f t="shared" si="18"/>
        <v>39</v>
      </c>
      <c r="F120" s="2" t="str">
        <f>A88</f>
        <v>1/20</v>
      </c>
      <c r="G120" s="2">
        <f t="shared" ref="G120:I120" si="34">B88</f>
        <v>0.05</v>
      </c>
      <c r="H120" s="2">
        <f t="shared" si="34"/>
        <v>6.3</v>
      </c>
      <c r="I120" s="2">
        <f t="shared" ca="1" si="34"/>
        <v>100</v>
      </c>
      <c r="J120" s="28" t="s">
        <v>25</v>
      </c>
      <c r="K120" s="3">
        <f t="shared" si="14"/>
        <v>88.352279807692312</v>
      </c>
      <c r="L120" s="21">
        <f t="shared" si="15"/>
        <v>42.1</v>
      </c>
      <c r="M120" t="str">
        <f t="shared" si="13"/>
        <v>Totality: 1/20</v>
      </c>
    </row>
    <row r="121" spans="1:13" x14ac:dyDescent="0.25">
      <c r="E121">
        <f t="shared" si="18"/>
        <v>40</v>
      </c>
      <c r="F121" s="2" t="str">
        <f>A92</f>
        <v>1/320</v>
      </c>
      <c r="G121" s="2">
        <f t="shared" ref="G121:I121" si="35">B92</f>
        <v>3.1250000000000002E-3</v>
      </c>
      <c r="H121" s="2">
        <f t="shared" si="35"/>
        <v>6.3</v>
      </c>
      <c r="I121" s="2">
        <f t="shared" ca="1" si="35"/>
        <v>100</v>
      </c>
      <c r="J121" s="28" t="s">
        <v>25</v>
      </c>
      <c r="K121" s="3">
        <f t="shared" si="14"/>
        <v>90.15227980769231</v>
      </c>
      <c r="L121" s="21">
        <f t="shared" si="15"/>
        <v>43.9</v>
      </c>
      <c r="M121" t="str">
        <f t="shared" si="13"/>
        <v>Totality: 1/320</v>
      </c>
    </row>
    <row r="122" spans="1:13" x14ac:dyDescent="0.25">
      <c r="E122">
        <f t="shared" si="18"/>
        <v>41</v>
      </c>
      <c r="F122" s="2" t="str">
        <f>A94</f>
        <v>1/1250</v>
      </c>
      <c r="G122" s="2">
        <f t="shared" ref="G122:I122" si="36">B94</f>
        <v>8.0000000000000004E-4</v>
      </c>
      <c r="H122" s="2">
        <f t="shared" si="36"/>
        <v>6.3</v>
      </c>
      <c r="I122" s="2">
        <f t="shared" ca="1" si="36"/>
        <v>100</v>
      </c>
      <c r="J122" s="28" t="s">
        <v>18</v>
      </c>
      <c r="K122" s="3">
        <f t="shared" si="14"/>
        <v>91.905404807692307</v>
      </c>
      <c r="L122" s="21">
        <f t="shared" si="15"/>
        <v>45.6</v>
      </c>
      <c r="M122" t="str">
        <f t="shared" si="13"/>
        <v>Totality: 1/1250</v>
      </c>
    </row>
    <row r="124" spans="1:13" x14ac:dyDescent="0.25">
      <c r="A124" s="19"/>
    </row>
    <row r="125" spans="1:13" x14ac:dyDescent="0.25">
      <c r="A125" s="9" t="s">
        <v>139</v>
      </c>
    </row>
    <row r="126" spans="1:13" x14ac:dyDescent="0.25">
      <c r="A126" s="8" t="s">
        <v>66</v>
      </c>
      <c r="B126">
        <f>B12</f>
        <v>115</v>
      </c>
      <c r="E126" t="s">
        <v>64</v>
      </c>
      <c r="F126">
        <f>SUM(B133:B141)</f>
        <v>43.034855769230774</v>
      </c>
      <c r="J126" t="s">
        <v>118</v>
      </c>
      <c r="K126" s="3">
        <v>0</v>
      </c>
    </row>
    <row r="127" spans="1:13" x14ac:dyDescent="0.25">
      <c r="A127" s="8" t="s">
        <v>143</v>
      </c>
      <c r="B127">
        <v>2</v>
      </c>
      <c r="E127" t="s">
        <v>70</v>
      </c>
      <c r="F127">
        <f>B127*(8-1)</f>
        <v>14</v>
      </c>
    </row>
    <row r="128" spans="1:13" x14ac:dyDescent="0.25">
      <c r="E128" t="s">
        <v>145</v>
      </c>
      <c r="F128">
        <f>SUM(F126:F127)</f>
        <v>57.034855769230774</v>
      </c>
      <c r="G128" t="s">
        <v>146</v>
      </c>
      <c r="H128" s="3">
        <f>K150+G150</f>
        <v>92.072836538461544</v>
      </c>
    </row>
    <row r="129" spans="1:13" x14ac:dyDescent="0.25">
      <c r="G129" t="s">
        <v>147</v>
      </c>
      <c r="H129" s="3">
        <f>B126-H128</f>
        <v>22.927163461538456</v>
      </c>
    </row>
    <row r="131" spans="1:13" x14ac:dyDescent="0.25">
      <c r="F131" s="17" t="s">
        <v>100</v>
      </c>
      <c r="G131" s="17" t="s">
        <v>100</v>
      </c>
      <c r="H131" s="17" t="s">
        <v>13</v>
      </c>
      <c r="I131" s="17" t="s">
        <v>14</v>
      </c>
      <c r="J131" s="17" t="s">
        <v>110</v>
      </c>
      <c r="K131"/>
      <c r="L131" s="17" t="s">
        <v>9</v>
      </c>
    </row>
    <row r="132" spans="1:13" x14ac:dyDescent="0.25">
      <c r="A132" s="43" t="s">
        <v>48</v>
      </c>
      <c r="B132" s="24">
        <f>1/640</f>
        <v>1.5625000000000001E-3</v>
      </c>
      <c r="C132" s="24">
        <v>11</v>
      </c>
      <c r="D132" s="24">
        <v>200</v>
      </c>
      <c r="F132" s="39" t="str">
        <f>A132</f>
        <v>1/640</v>
      </c>
      <c r="G132" s="40">
        <f t="shared" ref="G132:I141" si="37">B132</f>
        <v>1.5625000000000001E-3</v>
      </c>
      <c r="H132" s="41">
        <f t="shared" si="37"/>
        <v>11</v>
      </c>
      <c r="I132" s="41">
        <f t="shared" si="37"/>
        <v>200</v>
      </c>
      <c r="J132" s="42" t="s">
        <v>25</v>
      </c>
      <c r="K132">
        <v>0</v>
      </c>
      <c r="L132" s="40">
        <f>K132-K141</f>
        <v>-31.036418269230769</v>
      </c>
      <c r="M132" t="str">
        <f>_xlfn.CONCAT("Wide totality: ", F132)</f>
        <v>Wide totality: 1/640</v>
      </c>
    </row>
    <row r="133" spans="1:13" x14ac:dyDescent="0.25">
      <c r="A133" s="44" t="s">
        <v>49</v>
      </c>
      <c r="B133" s="24">
        <f>1/320</f>
        <v>3.1250000000000002E-3</v>
      </c>
      <c r="C133" s="24">
        <v>11</v>
      </c>
      <c r="D133" s="24">
        <v>200</v>
      </c>
      <c r="F133" s="39" t="str">
        <f t="shared" ref="F133:F141" si="38">A133</f>
        <v>1/320</v>
      </c>
      <c r="G133" s="40">
        <f t="shared" si="37"/>
        <v>3.1250000000000002E-3</v>
      </c>
      <c r="H133" s="41">
        <f t="shared" si="37"/>
        <v>11</v>
      </c>
      <c r="I133" s="41">
        <f t="shared" si="37"/>
        <v>200</v>
      </c>
      <c r="J133" s="42" t="s">
        <v>25</v>
      </c>
      <c r="K133" s="3">
        <f>K132+G132+$B$127</f>
        <v>2.0015624999999999</v>
      </c>
      <c r="L133" s="40">
        <f t="shared" ref="L133:L150" si="39">K133-K142</f>
        <v>-61.034855769230766</v>
      </c>
      <c r="M133" t="str">
        <f t="shared" ref="M133:M150" si="40">_xlfn.CONCAT("Wide totality: ", F133)</f>
        <v>Wide totality: 1/320</v>
      </c>
    </row>
    <row r="134" spans="1:13" x14ac:dyDescent="0.25">
      <c r="A134" s="44" t="s">
        <v>50</v>
      </c>
      <c r="B134" s="24">
        <f>1/80</f>
        <v>1.2500000000000001E-2</v>
      </c>
      <c r="C134" s="24">
        <v>11</v>
      </c>
      <c r="D134" s="24">
        <v>200</v>
      </c>
      <c r="F134" s="39" t="str">
        <f t="shared" si="38"/>
        <v>1/80</v>
      </c>
      <c r="G134" s="40">
        <f t="shared" si="37"/>
        <v>1.2500000000000001E-2</v>
      </c>
      <c r="H134" s="41">
        <f t="shared" si="37"/>
        <v>11</v>
      </c>
      <c r="I134" s="41">
        <f t="shared" si="37"/>
        <v>200</v>
      </c>
      <c r="J134" s="42" t="s">
        <v>25</v>
      </c>
      <c r="K134" s="3">
        <f t="shared" ref="K134:K149" si="41">K133+G133+$B$127</f>
        <v>4.0046874999999993</v>
      </c>
      <c r="L134" s="40">
        <f t="shared" si="39"/>
        <v>-69.031730769230762</v>
      </c>
      <c r="M134" t="str">
        <f t="shared" si="40"/>
        <v>Wide totality: 1/80</v>
      </c>
    </row>
    <row r="135" spans="1:13" x14ac:dyDescent="0.25">
      <c r="A135" s="44" t="s">
        <v>52</v>
      </c>
      <c r="B135" s="24">
        <f>1/20</f>
        <v>0.05</v>
      </c>
      <c r="C135" s="24">
        <v>11</v>
      </c>
      <c r="D135" s="24">
        <v>200</v>
      </c>
      <c r="F135" s="39" t="str">
        <f t="shared" si="38"/>
        <v>1/20</v>
      </c>
      <c r="G135" s="40">
        <f t="shared" si="37"/>
        <v>0.05</v>
      </c>
      <c r="H135" s="41">
        <f t="shared" si="37"/>
        <v>11</v>
      </c>
      <c r="I135" s="41">
        <f t="shared" si="37"/>
        <v>200</v>
      </c>
      <c r="J135" s="42" t="s">
        <v>25</v>
      </c>
      <c r="K135" s="3">
        <f t="shared" si="41"/>
        <v>6.0171874999999995</v>
      </c>
      <c r="L135" s="40">
        <f t="shared" si="39"/>
        <v>-72.019230769230759</v>
      </c>
      <c r="M135" t="str">
        <f t="shared" si="40"/>
        <v>Wide totality: 1/20</v>
      </c>
    </row>
    <row r="136" spans="1:13" x14ac:dyDescent="0.25">
      <c r="A136" s="44" t="s">
        <v>54</v>
      </c>
      <c r="B136" s="24">
        <f>1/5</f>
        <v>0.2</v>
      </c>
      <c r="C136" s="24">
        <v>11</v>
      </c>
      <c r="D136" s="24">
        <v>200</v>
      </c>
      <c r="F136" s="39" t="str">
        <f t="shared" si="38"/>
        <v>1/5</v>
      </c>
      <c r="G136" s="40">
        <f t="shared" si="37"/>
        <v>0.2</v>
      </c>
      <c r="H136" s="41">
        <f t="shared" si="37"/>
        <v>11</v>
      </c>
      <c r="I136" s="41">
        <f t="shared" si="37"/>
        <v>200</v>
      </c>
      <c r="J136" s="42" t="s">
        <v>25</v>
      </c>
      <c r="K136" s="3">
        <f t="shared" si="41"/>
        <v>8.0671874999999993</v>
      </c>
      <c r="L136" s="40">
        <f t="shared" si="39"/>
        <v>-71.970793269230768</v>
      </c>
      <c r="M136" t="str">
        <f t="shared" si="40"/>
        <v>Wide totality: 1/5</v>
      </c>
    </row>
    <row r="137" spans="1:13" x14ac:dyDescent="0.25">
      <c r="A137" s="44" t="s">
        <v>56</v>
      </c>
      <c r="B137" s="24">
        <f>1/1.3</f>
        <v>0.76923076923076916</v>
      </c>
      <c r="C137" s="24">
        <v>11</v>
      </c>
      <c r="D137" s="24">
        <v>200</v>
      </c>
      <c r="F137" s="39" t="str">
        <f t="shared" si="38"/>
        <v>1/1.3</v>
      </c>
      <c r="G137" s="40">
        <f t="shared" si="37"/>
        <v>0.76923076923076916</v>
      </c>
      <c r="H137" s="41">
        <f t="shared" si="37"/>
        <v>11</v>
      </c>
      <c r="I137" s="41">
        <f t="shared" si="37"/>
        <v>200</v>
      </c>
      <c r="J137" s="42" t="s">
        <v>25</v>
      </c>
      <c r="K137" s="3">
        <f t="shared" si="41"/>
        <v>10.267187499999999</v>
      </c>
      <c r="L137" s="40">
        <f t="shared" si="39"/>
        <v>-71.773918269230762</v>
      </c>
      <c r="M137" t="str">
        <f t="shared" si="40"/>
        <v>Wide totality: 1/1.3</v>
      </c>
    </row>
    <row r="138" spans="1:13" x14ac:dyDescent="0.25">
      <c r="A138" s="44" t="s">
        <v>144</v>
      </c>
      <c r="B138" s="24">
        <v>1</v>
      </c>
      <c r="C138" s="24">
        <v>11</v>
      </c>
      <c r="D138" s="24">
        <v>200</v>
      </c>
      <c r="F138" s="39" t="str">
        <f t="shared" si="38"/>
        <v>1</v>
      </c>
      <c r="G138" s="40">
        <f t="shared" si="37"/>
        <v>1</v>
      </c>
      <c r="H138" s="41">
        <f t="shared" si="37"/>
        <v>11</v>
      </c>
      <c r="I138" s="41">
        <f t="shared" si="37"/>
        <v>200</v>
      </c>
      <c r="J138" s="42" t="s">
        <v>25</v>
      </c>
      <c r="K138" s="3">
        <f t="shared" si="41"/>
        <v>13.036418269230769</v>
      </c>
      <c r="L138" s="40">
        <f t="shared" si="39"/>
        <v>-71.017187500000006</v>
      </c>
      <c r="M138" t="str">
        <f t="shared" si="40"/>
        <v>Wide totality: 1</v>
      </c>
    </row>
    <row r="139" spans="1:13" x14ac:dyDescent="0.25">
      <c r="A139" s="44" t="s">
        <v>142</v>
      </c>
      <c r="B139" s="24">
        <v>3</v>
      </c>
      <c r="C139" s="24">
        <v>11</v>
      </c>
      <c r="D139" s="24">
        <v>200</v>
      </c>
      <c r="F139" s="39" t="str">
        <f t="shared" si="38"/>
        <v>3</v>
      </c>
      <c r="G139" s="40">
        <f t="shared" si="37"/>
        <v>3</v>
      </c>
      <c r="H139" s="41">
        <f t="shared" si="37"/>
        <v>11</v>
      </c>
      <c r="I139" s="41">
        <f t="shared" si="37"/>
        <v>200</v>
      </c>
      <c r="J139" s="42" t="s">
        <v>25</v>
      </c>
      <c r="K139" s="3">
        <f t="shared" si="41"/>
        <v>16.036418269230769</v>
      </c>
      <c r="L139" s="40">
        <f t="shared" si="39"/>
        <v>-70.067187500000003</v>
      </c>
      <c r="M139" t="str">
        <f t="shared" si="40"/>
        <v>Wide totality: 3</v>
      </c>
    </row>
    <row r="140" spans="1:13" x14ac:dyDescent="0.25">
      <c r="A140" s="44" t="s">
        <v>140</v>
      </c>
      <c r="B140" s="24">
        <v>8</v>
      </c>
      <c r="C140" s="24">
        <v>11</v>
      </c>
      <c r="D140" s="24">
        <v>200</v>
      </c>
      <c r="F140" s="39" t="str">
        <f t="shared" si="38"/>
        <v>8</v>
      </c>
      <c r="G140" s="40">
        <f t="shared" si="37"/>
        <v>8</v>
      </c>
      <c r="H140" s="41">
        <f t="shared" si="37"/>
        <v>11</v>
      </c>
      <c r="I140" s="41">
        <f t="shared" si="37"/>
        <v>200</v>
      </c>
      <c r="J140" s="42" t="s">
        <v>25</v>
      </c>
      <c r="K140" s="3">
        <f t="shared" si="41"/>
        <v>21.036418269230769</v>
      </c>
      <c r="L140" s="40">
        <f t="shared" si="39"/>
        <v>-67.267187500000006</v>
      </c>
      <c r="M140" t="str">
        <f t="shared" si="40"/>
        <v>Wide totality: 8</v>
      </c>
    </row>
    <row r="141" spans="1:13" x14ac:dyDescent="0.25">
      <c r="A141" s="44" t="s">
        <v>141</v>
      </c>
      <c r="B141" s="24">
        <v>30</v>
      </c>
      <c r="C141" s="24">
        <v>11</v>
      </c>
      <c r="D141" s="24">
        <v>100</v>
      </c>
      <c r="F141" s="39" t="str">
        <f t="shared" si="38"/>
        <v>30</v>
      </c>
      <c r="G141" s="40">
        <f t="shared" si="37"/>
        <v>30</v>
      </c>
      <c r="H141" s="41">
        <f t="shared" si="37"/>
        <v>11</v>
      </c>
      <c r="I141" s="41">
        <f t="shared" si="37"/>
        <v>100</v>
      </c>
      <c r="J141" s="42" t="s">
        <v>25</v>
      </c>
      <c r="K141" s="3">
        <f t="shared" si="41"/>
        <v>31.036418269230769</v>
      </c>
      <c r="L141" s="40">
        <f t="shared" si="39"/>
        <v>-60.036418269230779</v>
      </c>
      <c r="M141" t="str">
        <f t="shared" si="40"/>
        <v>Wide totality: 30</v>
      </c>
    </row>
    <row r="142" spans="1:13" x14ac:dyDescent="0.25">
      <c r="A142" s="16"/>
      <c r="F142" s="2" t="str">
        <f>A140</f>
        <v>8</v>
      </c>
      <c r="G142" s="3">
        <f t="shared" ref="G142:I142" si="42">B140</f>
        <v>8</v>
      </c>
      <c r="H142" s="2">
        <f t="shared" si="42"/>
        <v>11</v>
      </c>
      <c r="I142" s="2">
        <f t="shared" si="42"/>
        <v>200</v>
      </c>
      <c r="J142" s="42" t="s">
        <v>25</v>
      </c>
      <c r="K142" s="3">
        <f t="shared" si="41"/>
        <v>63.036418269230765</v>
      </c>
      <c r="L142" s="40">
        <f t="shared" si="39"/>
        <v>63.036418269230765</v>
      </c>
      <c r="M142" t="str">
        <f t="shared" si="40"/>
        <v>Wide totality: 8</v>
      </c>
    </row>
    <row r="143" spans="1:13" x14ac:dyDescent="0.25">
      <c r="A143" s="16"/>
      <c r="F143" s="2" t="str">
        <f>A139</f>
        <v>3</v>
      </c>
      <c r="G143" s="3">
        <f t="shared" ref="G143:I143" si="43">B139</f>
        <v>3</v>
      </c>
      <c r="H143" s="2">
        <f t="shared" si="43"/>
        <v>11</v>
      </c>
      <c r="I143" s="2">
        <f t="shared" si="43"/>
        <v>200</v>
      </c>
      <c r="J143" s="42" t="s">
        <v>25</v>
      </c>
      <c r="K143" s="3">
        <f t="shared" si="41"/>
        <v>73.036418269230765</v>
      </c>
      <c r="L143" s="40">
        <f t="shared" si="39"/>
        <v>73.036418269230765</v>
      </c>
      <c r="M143" t="str">
        <f t="shared" si="40"/>
        <v>Wide totality: 3</v>
      </c>
    </row>
    <row r="144" spans="1:13" x14ac:dyDescent="0.25">
      <c r="A144" s="16"/>
      <c r="F144" t="str">
        <f>A132</f>
        <v>1/640</v>
      </c>
      <c r="G144" s="3">
        <f t="shared" ref="G144:I149" si="44">B132</f>
        <v>1.5625000000000001E-3</v>
      </c>
      <c r="H144" s="2">
        <f t="shared" si="44"/>
        <v>11</v>
      </c>
      <c r="I144" s="2">
        <f t="shared" si="44"/>
        <v>200</v>
      </c>
      <c r="J144" s="42" t="s">
        <v>25</v>
      </c>
      <c r="K144" s="3">
        <f t="shared" si="41"/>
        <v>78.036418269230765</v>
      </c>
      <c r="L144" s="40">
        <f t="shared" si="39"/>
        <v>78.036418269230765</v>
      </c>
      <c r="M144" t="str">
        <f t="shared" si="40"/>
        <v>Wide totality: 1/640</v>
      </c>
    </row>
    <row r="145" spans="1:13" x14ac:dyDescent="0.25">
      <c r="A145" s="16"/>
      <c r="F145" t="str">
        <f t="shared" ref="F145:F149" si="45">A133</f>
        <v>1/320</v>
      </c>
      <c r="G145" s="3">
        <f t="shared" si="44"/>
        <v>3.1250000000000002E-3</v>
      </c>
      <c r="H145" s="2">
        <f t="shared" si="44"/>
        <v>11</v>
      </c>
      <c r="I145" s="2">
        <f t="shared" si="44"/>
        <v>200</v>
      </c>
      <c r="J145" s="42" t="s">
        <v>25</v>
      </c>
      <c r="K145" s="3">
        <f t="shared" si="41"/>
        <v>80.037980769230771</v>
      </c>
      <c r="L145" s="40">
        <f t="shared" si="39"/>
        <v>80.037980769230771</v>
      </c>
      <c r="M145" t="str">
        <f t="shared" si="40"/>
        <v>Wide totality: 1/320</v>
      </c>
    </row>
    <row r="146" spans="1:13" x14ac:dyDescent="0.25">
      <c r="A146" s="16"/>
      <c r="F146" t="str">
        <f t="shared" si="45"/>
        <v>1/80</v>
      </c>
      <c r="G146" s="3">
        <f t="shared" si="44"/>
        <v>1.2500000000000001E-2</v>
      </c>
      <c r="H146" s="2">
        <f t="shared" si="44"/>
        <v>11</v>
      </c>
      <c r="I146" s="2">
        <f t="shared" si="44"/>
        <v>200</v>
      </c>
      <c r="J146" s="42" t="s">
        <v>25</v>
      </c>
      <c r="K146" s="3">
        <f t="shared" si="41"/>
        <v>82.041105769230768</v>
      </c>
      <c r="L146" s="40">
        <f t="shared" si="39"/>
        <v>82.041105769230768</v>
      </c>
      <c r="M146" t="str">
        <f t="shared" si="40"/>
        <v>Wide totality: 1/80</v>
      </c>
    </row>
    <row r="147" spans="1:13" x14ac:dyDescent="0.25">
      <c r="A147" s="16"/>
      <c r="F147" t="str">
        <f t="shared" si="45"/>
        <v>1/20</v>
      </c>
      <c r="G147" s="3">
        <f t="shared" si="44"/>
        <v>0.05</v>
      </c>
      <c r="H147" s="2">
        <f t="shared" si="44"/>
        <v>11</v>
      </c>
      <c r="I147" s="2">
        <f t="shared" si="44"/>
        <v>200</v>
      </c>
      <c r="J147" s="42" t="s">
        <v>25</v>
      </c>
      <c r="K147" s="3">
        <f t="shared" si="41"/>
        <v>84.053605769230771</v>
      </c>
      <c r="L147" s="40">
        <f t="shared" si="39"/>
        <v>84.053605769230771</v>
      </c>
      <c r="M147" t="str">
        <f t="shared" si="40"/>
        <v>Wide totality: 1/20</v>
      </c>
    </row>
    <row r="148" spans="1:13" x14ac:dyDescent="0.25">
      <c r="A148" s="16"/>
      <c r="F148" t="str">
        <f t="shared" si="45"/>
        <v>1/5</v>
      </c>
      <c r="G148" s="3">
        <f t="shared" si="44"/>
        <v>0.2</v>
      </c>
      <c r="H148" s="2">
        <f t="shared" si="44"/>
        <v>11</v>
      </c>
      <c r="I148" s="2">
        <f t="shared" si="44"/>
        <v>200</v>
      </c>
      <c r="J148" s="42" t="s">
        <v>25</v>
      </c>
      <c r="K148" s="3">
        <f t="shared" si="41"/>
        <v>86.103605769230768</v>
      </c>
      <c r="L148" s="40">
        <f t="shared" si="39"/>
        <v>86.103605769230768</v>
      </c>
      <c r="M148" t="str">
        <f t="shared" si="40"/>
        <v>Wide totality: 1/5</v>
      </c>
    </row>
    <row r="149" spans="1:13" x14ac:dyDescent="0.25">
      <c r="A149" s="16"/>
      <c r="F149" t="str">
        <f t="shared" si="45"/>
        <v>1/1.3</v>
      </c>
      <c r="G149" s="3">
        <f t="shared" si="44"/>
        <v>0.76923076923076916</v>
      </c>
      <c r="H149" s="2">
        <f t="shared" si="44"/>
        <v>11</v>
      </c>
      <c r="I149" s="2">
        <f t="shared" si="44"/>
        <v>200</v>
      </c>
      <c r="J149" s="42" t="s">
        <v>25</v>
      </c>
      <c r="K149" s="3">
        <f t="shared" si="41"/>
        <v>88.303605769230771</v>
      </c>
      <c r="L149" s="40">
        <f t="shared" si="39"/>
        <v>88.303605769230771</v>
      </c>
      <c r="M149" t="str">
        <f t="shared" si="40"/>
        <v>Wide totality: 1/1.3</v>
      </c>
    </row>
    <row r="150" spans="1:13" x14ac:dyDescent="0.25">
      <c r="F150" t="str">
        <f t="shared" ref="F150" si="46">A138</f>
        <v>1</v>
      </c>
      <c r="G150" s="3">
        <f t="shared" ref="G150" si="47">B138</f>
        <v>1</v>
      </c>
      <c r="H150" s="2">
        <f t="shared" ref="H150" si="48">C138</f>
        <v>11</v>
      </c>
      <c r="I150" s="2">
        <f t="shared" ref="I150" si="49">D138</f>
        <v>200</v>
      </c>
      <c r="J150" s="42" t="s">
        <v>18</v>
      </c>
      <c r="K150" s="3">
        <f t="shared" ref="K150" si="50">K149+G149+$B$127</f>
        <v>91.072836538461544</v>
      </c>
      <c r="L150" s="40">
        <f t="shared" si="39"/>
        <v>91.072836538461544</v>
      </c>
      <c r="M150" t="str">
        <f t="shared" si="40"/>
        <v>Wide totality: 1</v>
      </c>
    </row>
  </sheetData>
  <mergeCells count="1">
    <mergeCell ref="E2:I2"/>
  </mergeCells>
  <conditionalFormatting sqref="L34">
    <cfRule type="expression" dxfId="0" priority="1">
      <formula>AND($L$34&lt;-0.5, $L$34&gt;0.25)</formula>
    </cfRule>
    <cfRule type="expression" priority="2">
      <formula>AND($L$34&lt;-0.5, $L$34&gt;0.1)</formula>
    </cfRule>
  </conditionalFormatting>
  <pageMargins left="0.7" right="0.7" top="0.75" bottom="0.75" header="0.3" footer="0.3"/>
  <pageSetup orientation="portrait" r:id="rId1"/>
  <ignoredErrors>
    <ignoredError sqref="B19:B21 A134" twoDigitTextYear="1"/>
    <ignoredError sqref="A138:A140 A14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Export">
              <controlPr defaultSize="0" print="0" autoFill="0" autoPict="0" macro="[0]!Sheet2.ExportZoomAsCSV">
                <anchor moveWithCells="1" sizeWithCells="1">
                  <from>
                    <xdr:col>7</xdr:col>
                    <xdr:colOff>762000</xdr:colOff>
                    <xdr:row>7</xdr:row>
                    <xdr:rowOff>190500</xdr:rowOff>
                  </from>
                  <to>
                    <xdr:col>9</xdr:col>
                    <xdr:colOff>1009650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Sheet4.ExportWideAsCSV">
                <anchor moveWithCells="1" sizeWithCells="1"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10</xdr:col>
                    <xdr:colOff>0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'Exposure list'!$J$5:$J$14</xm:f>
          </x14:formula1>
          <xm:sqref>G9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M87"/>
  <sheetViews>
    <sheetView zoomScale="90" zoomScaleNormal="90" workbookViewId="0">
      <selection activeCell="A6" sqref="A6"/>
    </sheetView>
  </sheetViews>
  <sheetFormatPr defaultRowHeight="15" x14ac:dyDescent="0.25"/>
  <cols>
    <col min="1" max="1" width="19.7109375" customWidth="1"/>
    <col min="2" max="2" width="5.7109375" customWidth="1"/>
    <col min="3" max="3" width="4.28515625" customWidth="1"/>
    <col min="8" max="8" width="9.140625" style="1"/>
    <col min="13" max="13" width="20.28515625" bestFit="1" customWidth="1"/>
  </cols>
  <sheetData>
    <row r="5" spans="1:13" x14ac:dyDescent="0.25">
      <c r="A5" t="s">
        <v>151</v>
      </c>
    </row>
    <row r="6" spans="1:13" x14ac:dyDescent="0.25">
      <c r="A6" t="s">
        <v>103</v>
      </c>
      <c r="B6">
        <f>COUNTIF(L:L, "N")/(COUNTIF(L:L, "N")+COUNTIF(L:L, "Y"))*100</f>
        <v>5.7692307692307692</v>
      </c>
      <c r="D6" t="s">
        <v>128</v>
      </c>
    </row>
    <row r="7" spans="1:13" x14ac:dyDescent="0.25">
      <c r="A7" t="s">
        <v>148</v>
      </c>
    </row>
    <row r="8" spans="1:13" x14ac:dyDescent="0.25">
      <c r="A8" t="s">
        <v>71</v>
      </c>
    </row>
    <row r="9" spans="1:13" x14ac:dyDescent="0.25">
      <c r="A9" t="s">
        <v>27</v>
      </c>
    </row>
    <row r="10" spans="1:13" x14ac:dyDescent="0.25">
      <c r="A10" t="s">
        <v>7</v>
      </c>
      <c r="B10" t="s">
        <v>8</v>
      </c>
      <c r="C10" t="s">
        <v>24</v>
      </c>
      <c r="D10" s="3" t="str">
        <f>_xlfn.CONCAT("00:",TEXT(Calcs!H25,"00.0"))</f>
        <v>00:14.5</v>
      </c>
      <c r="E10" t="str">
        <f>CAM1ID</f>
        <v>6D1</v>
      </c>
      <c r="F10" t="s">
        <v>102</v>
      </c>
      <c r="G10" t="s">
        <v>102</v>
      </c>
      <c r="H10" s="1">
        <f>Calcs!E25</f>
        <v>3</v>
      </c>
      <c r="I10" t="s">
        <v>102</v>
      </c>
      <c r="J10" t="s">
        <v>102</v>
      </c>
      <c r="K10" t="s">
        <v>102</v>
      </c>
      <c r="L10" t="s">
        <v>102</v>
      </c>
    </row>
    <row r="11" spans="1:13" x14ac:dyDescent="0.25">
      <c r="A11" t="s">
        <v>11</v>
      </c>
      <c r="B11" t="s">
        <v>8</v>
      </c>
      <c r="C11" t="s">
        <v>24</v>
      </c>
      <c r="D11" t="str">
        <f>_xlfn.CONCAT("00:",TEXT(Calcs!H26,"00.0"))</f>
        <v>00:14.0</v>
      </c>
      <c r="E11" t="str">
        <f>CAM1ID</f>
        <v>6D1</v>
      </c>
      <c r="F11" s="2" t="str">
        <f>Calcs!B26</f>
        <v>1/100</v>
      </c>
      <c r="G11">
        <f>Calcs!C26</f>
        <v>6.3</v>
      </c>
      <c r="H11" s="1">
        <f ca="1">Calcs!D26</f>
        <v>100</v>
      </c>
      <c r="I11" s="4">
        <f>Calcs!G26</f>
        <v>8</v>
      </c>
      <c r="J11" t="str">
        <f>Calcs!F26</f>
        <v>RAW</v>
      </c>
      <c r="K11" t="s">
        <v>17</v>
      </c>
      <c r="L11" s="24" t="s">
        <v>25</v>
      </c>
      <c r="M11" t="s">
        <v>87</v>
      </c>
    </row>
    <row r="12" spans="1:13" x14ac:dyDescent="0.25">
      <c r="A12" t="s">
        <v>101</v>
      </c>
    </row>
    <row r="13" spans="1:13" x14ac:dyDescent="0.25">
      <c r="A13" t="s">
        <v>30</v>
      </c>
    </row>
    <row r="14" spans="1:13" x14ac:dyDescent="0.25">
      <c r="A14" t="s">
        <v>7</v>
      </c>
      <c r="B14" t="s">
        <v>8</v>
      </c>
      <c r="C14" t="s">
        <v>24</v>
      </c>
      <c r="D14" t="str">
        <f>_xlfn.CONCAT("00:",TEXT(Calcs!H28,"00.0"))</f>
        <v>00:09.5</v>
      </c>
      <c r="E14" t="str">
        <f>CAM1ID</f>
        <v>6D1</v>
      </c>
      <c r="F14" t="s">
        <v>102</v>
      </c>
      <c r="G14" t="s">
        <v>102</v>
      </c>
      <c r="H14" s="1">
        <f>Calcs!E28</f>
        <v>3</v>
      </c>
      <c r="I14" t="s">
        <v>102</v>
      </c>
      <c r="J14" t="s">
        <v>102</v>
      </c>
      <c r="K14" t="s">
        <v>102</v>
      </c>
      <c r="L14" t="s">
        <v>102</v>
      </c>
      <c r="M14" t="s">
        <v>31</v>
      </c>
    </row>
    <row r="15" spans="1:13" x14ac:dyDescent="0.25">
      <c r="A15" t="s">
        <v>11</v>
      </c>
      <c r="B15" t="s">
        <v>8</v>
      </c>
      <c r="C15" t="s">
        <v>24</v>
      </c>
      <c r="D15" t="str">
        <f>_xlfn.CONCAT("00:",TEXT(Calcs!H29,"00.0"))</f>
        <v>00:09.0</v>
      </c>
      <c r="E15" t="str">
        <f>CAM1ID</f>
        <v>6D1</v>
      </c>
      <c r="F15" s="2" t="str">
        <f>Calcs!B29</f>
        <v>1/4000</v>
      </c>
      <c r="G15">
        <f>Calcs!C29</f>
        <v>6.3</v>
      </c>
      <c r="H15" s="1">
        <f ca="1">Calcs!D29</f>
        <v>100</v>
      </c>
      <c r="I15" s="4">
        <f>Calcs!G29</f>
        <v>2</v>
      </c>
      <c r="J15" t="str">
        <f>Calcs!F34</f>
        <v>RAW</v>
      </c>
      <c r="K15" t="s">
        <v>17</v>
      </c>
      <c r="L15" s="24" t="s">
        <v>25</v>
      </c>
      <c r="M15" t="s">
        <v>31</v>
      </c>
    </row>
    <row r="16" spans="1:13" x14ac:dyDescent="0.25">
      <c r="A16" t="s">
        <v>11</v>
      </c>
      <c r="B16" t="s">
        <v>8</v>
      </c>
      <c r="C16" t="s">
        <v>24</v>
      </c>
      <c r="D16" t="str">
        <f>_xlfn.CONCAT("00:",TEXT(Calcs!H31,"00.0"))</f>
        <v>00:07.1</v>
      </c>
      <c r="E16" t="str">
        <f>CAM1ID</f>
        <v>6D1</v>
      </c>
      <c r="F16" s="2" t="str">
        <f>Calcs!B31</f>
        <v>1/100</v>
      </c>
      <c r="G16">
        <f>Calcs!C31</f>
        <v>6.3</v>
      </c>
      <c r="H16" s="1">
        <f ca="1">Calcs!D31</f>
        <v>100</v>
      </c>
      <c r="I16">
        <f>Calcs!G31</f>
        <v>8</v>
      </c>
      <c r="J16" t="str">
        <f>Calcs!F31</f>
        <v>RAW</v>
      </c>
      <c r="K16" t="s">
        <v>17</v>
      </c>
      <c r="L16" s="24" t="s">
        <v>25</v>
      </c>
      <c r="M16" t="s">
        <v>88</v>
      </c>
    </row>
    <row r="17" spans="1:13" x14ac:dyDescent="0.25">
      <c r="A17" t="s">
        <v>101</v>
      </c>
      <c r="F17" s="2"/>
    </row>
    <row r="18" spans="1:13" x14ac:dyDescent="0.25">
      <c r="A18" t="s">
        <v>7</v>
      </c>
      <c r="B18" t="s">
        <v>8</v>
      </c>
      <c r="C18" t="s">
        <v>24</v>
      </c>
      <c r="D18" t="str">
        <f>_xlfn.CONCAT("00:",TEXT(Calcs!H33,"00.0"))</f>
        <v>00:03.1</v>
      </c>
      <c r="E18" t="str">
        <f>CAM1ID</f>
        <v>6D1</v>
      </c>
      <c r="F18" s="2" t="s">
        <v>102</v>
      </c>
      <c r="G18" t="s">
        <v>102</v>
      </c>
      <c r="H18" s="1">
        <f>Calcs!E28</f>
        <v>3</v>
      </c>
      <c r="I18" t="s">
        <v>102</v>
      </c>
      <c r="J18" t="s">
        <v>102</v>
      </c>
      <c r="K18" t="s">
        <v>102</v>
      </c>
      <c r="L18" t="s">
        <v>102</v>
      </c>
      <c r="M18" t="s">
        <v>33</v>
      </c>
    </row>
    <row r="19" spans="1:13" x14ac:dyDescent="0.25">
      <c r="A19" t="s">
        <v>11</v>
      </c>
      <c r="B19" t="s">
        <v>8</v>
      </c>
      <c r="C19" t="s">
        <v>24</v>
      </c>
      <c r="D19" t="str">
        <f>_xlfn.CONCAT("00:",TEXT(Calcs!H34,"00.0"))</f>
        <v>00:02.6</v>
      </c>
      <c r="E19" t="str">
        <f>CAM1ID</f>
        <v>6D1</v>
      </c>
      <c r="F19" s="2" t="str">
        <f>Calcs!B29</f>
        <v>1/4000</v>
      </c>
      <c r="G19">
        <f>Calcs!C29</f>
        <v>6.3</v>
      </c>
      <c r="H19" s="1">
        <f ca="1">Calcs!D29</f>
        <v>100</v>
      </c>
      <c r="I19">
        <f>Calcs!G34</f>
        <v>4</v>
      </c>
      <c r="J19" t="str">
        <f>Calcs!F29</f>
        <v>RAW</v>
      </c>
      <c r="K19" t="s">
        <v>17</v>
      </c>
      <c r="L19" s="24" t="s">
        <v>25</v>
      </c>
      <c r="M19" t="s">
        <v>33</v>
      </c>
    </row>
    <row r="20" spans="1:13" x14ac:dyDescent="0.25">
      <c r="A20" t="s">
        <v>101</v>
      </c>
    </row>
    <row r="21" spans="1:13" x14ac:dyDescent="0.25">
      <c r="A21" t="s">
        <v>28</v>
      </c>
    </row>
    <row r="22" spans="1:13" x14ac:dyDescent="0.25">
      <c r="A22" t="s">
        <v>7</v>
      </c>
      <c r="B22" t="s">
        <v>8</v>
      </c>
      <c r="C22" t="s">
        <v>10</v>
      </c>
      <c r="D22" t="str">
        <f>_xlfn.CONCAT("00:",TEXT(Calcs!H37,"00.0"))</f>
        <v>00:00.7</v>
      </c>
      <c r="E22" t="str">
        <f>CAM1ID</f>
        <v>6D1</v>
      </c>
      <c r="F22" t="s">
        <v>102</v>
      </c>
      <c r="G22" t="s">
        <v>102</v>
      </c>
      <c r="H22" s="1">
        <f>Calcs!E37</f>
        <v>3</v>
      </c>
      <c r="I22" t="s">
        <v>102</v>
      </c>
      <c r="J22" t="s">
        <v>102</v>
      </c>
      <c r="K22" t="s">
        <v>102</v>
      </c>
      <c r="L22" t="s">
        <v>102</v>
      </c>
      <c r="M22" t="s">
        <v>89</v>
      </c>
    </row>
    <row r="23" spans="1:13" x14ac:dyDescent="0.25">
      <c r="A23" t="s">
        <v>11</v>
      </c>
      <c r="B23" t="str">
        <f>B22</f>
        <v>C2</v>
      </c>
      <c r="C23" t="str">
        <f>C22</f>
        <v>+</v>
      </c>
      <c r="D23" t="str">
        <f>_xlfn.CONCAT("00:",TEXT(Calcs!H38,"00.0"))</f>
        <v>00:01.2</v>
      </c>
      <c r="E23" t="str">
        <f>CAM1ID</f>
        <v>6D1</v>
      </c>
      <c r="F23" s="1" t="str">
        <f>Calcs!B38</f>
        <v>1/4000</v>
      </c>
      <c r="G23">
        <f>Calcs!C38</f>
        <v>6.3</v>
      </c>
      <c r="H23" s="1">
        <f ca="1">Calcs!D38</f>
        <v>100</v>
      </c>
      <c r="I23">
        <f>Calcs!G38</f>
        <v>5</v>
      </c>
      <c r="J23" t="str">
        <f>Calcs!F38</f>
        <v>RAW</v>
      </c>
      <c r="K23" t="s">
        <v>17</v>
      </c>
      <c r="L23" s="24" t="s">
        <v>25</v>
      </c>
      <c r="M23" t="s">
        <v>89</v>
      </c>
    </row>
    <row r="24" spans="1:13" x14ac:dyDescent="0.25">
      <c r="A24" t="s">
        <v>29</v>
      </c>
    </row>
    <row r="25" spans="1:13" x14ac:dyDescent="0.25">
      <c r="A25" t="s">
        <v>11</v>
      </c>
      <c r="B25" t="s">
        <v>8</v>
      </c>
      <c r="C25" t="s">
        <v>10</v>
      </c>
      <c r="D25" t="str">
        <f>_xlfn.CONCAT("00:",TEXT(Calcs!H40,"00.0"))</f>
        <v>00:04.9</v>
      </c>
      <c r="E25" t="str">
        <f>CAM1ID</f>
        <v>6D1</v>
      </c>
      <c r="F25" s="1" t="str">
        <f>Calcs!B40</f>
        <v>1/2000</v>
      </c>
      <c r="G25">
        <f>Calcs!C38</f>
        <v>6.3</v>
      </c>
      <c r="H25" s="1">
        <f ca="1">Calcs!D38</f>
        <v>100</v>
      </c>
      <c r="I25">
        <f>Calcs!G40</f>
        <v>3</v>
      </c>
      <c r="J25" t="str">
        <f>Calcs!F38</f>
        <v>RAW</v>
      </c>
      <c r="K25" t="s">
        <v>17</v>
      </c>
      <c r="L25" s="24" t="s">
        <v>18</v>
      </c>
      <c r="M25" t="s">
        <v>90</v>
      </c>
    </row>
    <row r="26" spans="1:13" x14ac:dyDescent="0.25">
      <c r="A26" t="s">
        <v>101</v>
      </c>
    </row>
    <row r="27" spans="1:13" x14ac:dyDescent="0.25">
      <c r="A27" t="s">
        <v>91</v>
      </c>
    </row>
    <row r="28" spans="1:13" x14ac:dyDescent="0.25">
      <c r="A28" t="s">
        <v>29</v>
      </c>
    </row>
    <row r="29" spans="1:13" x14ac:dyDescent="0.25">
      <c r="A29" t="s">
        <v>7</v>
      </c>
      <c r="B29" t="s">
        <v>41</v>
      </c>
      <c r="C29" t="s">
        <v>24</v>
      </c>
      <c r="D29" t="str">
        <f>_xlfn.CONCAT("00:",TEXT(Calcs!H46,"00.0"))</f>
        <v>00:05.5</v>
      </c>
      <c r="E29" t="str">
        <f>CAM1ID</f>
        <v>6D1</v>
      </c>
      <c r="F29" t="s">
        <v>102</v>
      </c>
      <c r="G29" t="s">
        <v>102</v>
      </c>
      <c r="H29" s="1">
        <f>Calcs!E46</f>
        <v>3</v>
      </c>
      <c r="I29" t="s">
        <v>102</v>
      </c>
      <c r="J29" t="s">
        <v>102</v>
      </c>
      <c r="K29" t="s">
        <v>102</v>
      </c>
      <c r="L29" t="s">
        <v>102</v>
      </c>
      <c r="M29" t="s">
        <v>92</v>
      </c>
    </row>
    <row r="30" spans="1:13" x14ac:dyDescent="0.25">
      <c r="A30" t="s">
        <v>11</v>
      </c>
      <c r="B30" t="s">
        <v>41</v>
      </c>
      <c r="C30" t="s">
        <v>24</v>
      </c>
      <c r="D30" t="str">
        <f>_xlfn.CONCAT("00:",TEXT(Calcs!H47,"00.0"))</f>
        <v>00:05.0</v>
      </c>
      <c r="E30" t="str">
        <f>CAM1ID</f>
        <v>6D1</v>
      </c>
      <c r="F30" s="2" t="str">
        <f>Calcs!B47</f>
        <v>1/2000</v>
      </c>
      <c r="G30" s="2">
        <f>Calcs!C47</f>
        <v>6.3</v>
      </c>
      <c r="H30" s="1">
        <f ca="1">Calcs!D47</f>
        <v>100</v>
      </c>
      <c r="I30">
        <f>Calcs!G47</f>
        <v>3</v>
      </c>
      <c r="J30" t="str">
        <f>Calcs!F47</f>
        <v>RAW</v>
      </c>
      <c r="K30" t="s">
        <v>17</v>
      </c>
      <c r="L30" s="24" t="s">
        <v>25</v>
      </c>
      <c r="M30" t="s">
        <v>92</v>
      </c>
    </row>
    <row r="31" spans="1:13" x14ac:dyDescent="0.25">
      <c r="A31" t="s">
        <v>28</v>
      </c>
    </row>
    <row r="32" spans="1:13" x14ac:dyDescent="0.25">
      <c r="A32" t="s">
        <v>11</v>
      </c>
      <c r="B32" t="s">
        <v>41</v>
      </c>
      <c r="C32" t="s">
        <v>24</v>
      </c>
      <c r="D32" t="str">
        <f>_xlfn.CONCAT("00:",TEXT(Calcs!H49,"00.0"))</f>
        <v>00:02.0</v>
      </c>
      <c r="E32" t="str">
        <f>CAM1ID</f>
        <v>6D1</v>
      </c>
      <c r="F32" s="2" t="str">
        <f>Calcs!B49</f>
        <v>1/4000</v>
      </c>
      <c r="G32" s="2">
        <f>Calcs!C49</f>
        <v>6.3</v>
      </c>
      <c r="H32" s="1">
        <f ca="1">Calcs!D49</f>
        <v>100</v>
      </c>
      <c r="I32">
        <f>Calcs!G49</f>
        <v>5</v>
      </c>
      <c r="J32" t="str">
        <f>Calcs!F49</f>
        <v>RAW</v>
      </c>
      <c r="K32" t="s">
        <v>17</v>
      </c>
      <c r="L32" s="24" t="s">
        <v>25</v>
      </c>
      <c r="M32" t="s">
        <v>93</v>
      </c>
    </row>
    <row r="33" spans="1:13" x14ac:dyDescent="0.25">
      <c r="A33" t="s">
        <v>101</v>
      </c>
    </row>
    <row r="34" spans="1:13" x14ac:dyDescent="0.25">
      <c r="A34" t="s">
        <v>98</v>
      </c>
    </row>
    <row r="35" spans="1:13" x14ac:dyDescent="0.25">
      <c r="A35" t="s">
        <v>7</v>
      </c>
      <c r="B35" t="s">
        <v>41</v>
      </c>
      <c r="C35" t="s">
        <v>10</v>
      </c>
      <c r="D35" t="str">
        <f>_xlfn.CONCAT("00:",TEXT(Calcs!H52,"00.0"))</f>
        <v>00:01.2</v>
      </c>
      <c r="E35" t="str">
        <f>CAM1ID</f>
        <v>6D1</v>
      </c>
      <c r="F35" t="s">
        <v>102</v>
      </c>
      <c r="G35" t="s">
        <v>102</v>
      </c>
      <c r="H35" s="1">
        <f>Calcs!E52</f>
        <v>3</v>
      </c>
      <c r="I35" t="s">
        <v>102</v>
      </c>
      <c r="J35" t="s">
        <v>102</v>
      </c>
      <c r="K35" t="s">
        <v>102</v>
      </c>
      <c r="L35" t="s">
        <v>102</v>
      </c>
      <c r="M35" t="s">
        <v>94</v>
      </c>
    </row>
    <row r="36" spans="1:13" x14ac:dyDescent="0.25">
      <c r="A36" t="s">
        <v>11</v>
      </c>
      <c r="B36" t="s">
        <v>41</v>
      </c>
      <c r="C36" t="s">
        <v>10</v>
      </c>
      <c r="D36" t="str">
        <f>_xlfn.CONCAT("00:",TEXT(Calcs!H53,"00.0"))</f>
        <v>00:01.7</v>
      </c>
      <c r="E36" t="str">
        <f>CAM1ID</f>
        <v>6D1</v>
      </c>
      <c r="F36" s="2" t="str">
        <f>Calcs!B53</f>
        <v>1/4000</v>
      </c>
      <c r="G36" s="2">
        <f>Calcs!C53</f>
        <v>6.3</v>
      </c>
      <c r="H36" s="1">
        <f ca="1">Calcs!D53</f>
        <v>100</v>
      </c>
      <c r="I36">
        <f>Calcs!G53</f>
        <v>4</v>
      </c>
      <c r="J36" t="str">
        <f>Calcs!F53</f>
        <v>RAW</v>
      </c>
      <c r="K36" t="s">
        <v>17</v>
      </c>
      <c r="L36" s="24" t="s">
        <v>25</v>
      </c>
      <c r="M36" t="s">
        <v>94</v>
      </c>
    </row>
    <row r="37" spans="1:13" x14ac:dyDescent="0.25">
      <c r="A37" t="s">
        <v>11</v>
      </c>
      <c r="B37" t="s">
        <v>41</v>
      </c>
      <c r="C37" t="s">
        <v>10</v>
      </c>
      <c r="D37" t="str">
        <f>_xlfn.CONCAT("00:",TEXT(Calcs!H55,"00.0"))</f>
        <v>00:04.0</v>
      </c>
      <c r="E37" t="str">
        <f>CAM1ID</f>
        <v>6D1</v>
      </c>
      <c r="F37" s="2" t="str">
        <f>Calcs!B55</f>
        <v>1/100</v>
      </c>
      <c r="G37" s="2">
        <f>Calcs!C55</f>
        <v>6.3</v>
      </c>
      <c r="H37" s="1">
        <f ca="1">Calcs!D55</f>
        <v>100</v>
      </c>
      <c r="I37">
        <f>Calcs!G55</f>
        <v>8</v>
      </c>
      <c r="J37" t="str">
        <f>Calcs!F55</f>
        <v>RAW</v>
      </c>
      <c r="K37" t="s">
        <v>17</v>
      </c>
      <c r="L37" s="24" t="s">
        <v>25</v>
      </c>
      <c r="M37" t="s">
        <v>95</v>
      </c>
    </row>
    <row r="38" spans="1:13" x14ac:dyDescent="0.25">
      <c r="A38" t="s">
        <v>101</v>
      </c>
    </row>
    <row r="39" spans="1:13" x14ac:dyDescent="0.25">
      <c r="A39" t="s">
        <v>99</v>
      </c>
    </row>
    <row r="40" spans="1:13" x14ac:dyDescent="0.25">
      <c r="A40" t="s">
        <v>7</v>
      </c>
      <c r="B40" t="s">
        <v>41</v>
      </c>
      <c r="C40" t="s">
        <v>10</v>
      </c>
      <c r="D40" t="str">
        <f>_xlfn.CONCAT("00:",TEXT(Calcs!H57,"00.0"))</f>
        <v>00:07.5</v>
      </c>
      <c r="E40" t="str">
        <f>CAM1ID</f>
        <v>6D1</v>
      </c>
      <c r="F40" t="s">
        <v>102</v>
      </c>
      <c r="G40" t="s">
        <v>102</v>
      </c>
      <c r="H40" s="1">
        <f>Calcs!E57</f>
        <v>3</v>
      </c>
      <c r="I40" t="s">
        <v>102</v>
      </c>
      <c r="J40" t="s">
        <v>102</v>
      </c>
      <c r="K40" t="s">
        <v>102</v>
      </c>
      <c r="L40" t="s">
        <v>102</v>
      </c>
      <c r="M40" t="s">
        <v>97</v>
      </c>
    </row>
    <row r="41" spans="1:13" x14ac:dyDescent="0.25">
      <c r="A41" t="s">
        <v>11</v>
      </c>
      <c r="B41" t="s">
        <v>41</v>
      </c>
      <c r="C41" t="s">
        <v>10</v>
      </c>
      <c r="D41" t="str">
        <f>_xlfn.CONCAT("00:",TEXT(Calcs!H58,"00.0"))</f>
        <v>00:08.0</v>
      </c>
      <c r="E41" t="str">
        <f>CAM1ID</f>
        <v>6D1</v>
      </c>
      <c r="F41" s="2" t="str">
        <f>Calcs!B58</f>
        <v>1/4000</v>
      </c>
      <c r="G41" s="2">
        <f>Calcs!C58</f>
        <v>6.3</v>
      </c>
      <c r="H41" s="1">
        <f ca="1">Calcs!D58</f>
        <v>100</v>
      </c>
      <c r="I41">
        <f>Calcs!G58</f>
        <v>2</v>
      </c>
      <c r="J41" t="str">
        <f>Calcs!F58</f>
        <v>RAW</v>
      </c>
      <c r="K41" t="s">
        <v>17</v>
      </c>
      <c r="L41" s="24" t="s">
        <v>25</v>
      </c>
      <c r="M41" t="s">
        <v>97</v>
      </c>
    </row>
    <row r="42" spans="1:13" x14ac:dyDescent="0.25">
      <c r="A42" t="s">
        <v>11</v>
      </c>
      <c r="B42" t="s">
        <v>41</v>
      </c>
      <c r="C42" t="s">
        <v>10</v>
      </c>
      <c r="D42" t="str">
        <f>_xlfn.CONCAT("00:",TEXT(Calcs!H60,"00.0"))</f>
        <v>00:09.4</v>
      </c>
      <c r="E42" t="str">
        <f>CAM1ID</f>
        <v>6D1</v>
      </c>
      <c r="F42" s="2" t="str">
        <f>Calcs!B60</f>
        <v>1/100</v>
      </c>
      <c r="G42" s="2">
        <f>Calcs!C60</f>
        <v>6.3</v>
      </c>
      <c r="H42" s="1">
        <f ca="1">Calcs!D60</f>
        <v>100</v>
      </c>
      <c r="I42">
        <f>Calcs!G60</f>
        <v>8</v>
      </c>
      <c r="J42" t="str">
        <f>Calcs!F60</f>
        <v>RAW</v>
      </c>
      <c r="K42" t="s">
        <v>17</v>
      </c>
      <c r="L42" s="24" t="s">
        <v>18</v>
      </c>
      <c r="M42" t="s">
        <v>96</v>
      </c>
    </row>
    <row r="43" spans="1:13" x14ac:dyDescent="0.25">
      <c r="A43" t="s">
        <v>101</v>
      </c>
    </row>
    <row r="44" spans="1:13" x14ac:dyDescent="0.25">
      <c r="A44" t="s">
        <v>72</v>
      </c>
    </row>
    <row r="45" spans="1:13" x14ac:dyDescent="0.25">
      <c r="A45" t="s">
        <v>21</v>
      </c>
      <c r="B45" t="s">
        <v>74</v>
      </c>
      <c r="C45" t="str">
        <f>IF(Calcs!L83&lt;0, "-", "+")</f>
        <v>-</v>
      </c>
      <c r="D45" t="str">
        <f>_xlfn.CONCAT("00:",TEXT(ABS(Calcs!L83),"00.0"))</f>
        <v>00:43.8</v>
      </c>
      <c r="E45" t="str">
        <f t="shared" ref="E45:E84" si="0">CAM1ID</f>
        <v>6D1</v>
      </c>
      <c r="F45" s="2" t="str">
        <f>Calcs!F83</f>
        <v>1/640</v>
      </c>
      <c r="G45" s="1">
        <f>Calcs!H83</f>
        <v>6.3</v>
      </c>
      <c r="H45" s="1">
        <f ca="1">Calcs!I83</f>
        <v>100</v>
      </c>
      <c r="I45" s="32" t="str">
        <f>TEXT(Calcs!$F$66,"0.000")</f>
        <v>0.000</v>
      </c>
      <c r="J45" t="s">
        <v>16</v>
      </c>
      <c r="K45" t="s">
        <v>17</v>
      </c>
      <c r="L45" s="4" t="str">
        <f>Calcs!J83</f>
        <v>Y</v>
      </c>
      <c r="M45" t="str">
        <f>Calcs!M83</f>
        <v>Totality: 1/640</v>
      </c>
    </row>
    <row r="46" spans="1:13" x14ac:dyDescent="0.25">
      <c r="A46" t="s">
        <v>21</v>
      </c>
      <c r="B46" t="s">
        <v>74</v>
      </c>
      <c r="C46" t="str">
        <f>IF(Calcs!L84&lt;0, "-", "+")</f>
        <v>-</v>
      </c>
      <c r="D46" t="str">
        <f>_xlfn.CONCAT("00:",TEXT(ABS(Calcs!L84),"00.0"))</f>
        <v>00:42.0</v>
      </c>
      <c r="E46" t="str">
        <f t="shared" si="0"/>
        <v>6D1</v>
      </c>
      <c r="F46" s="2" t="str">
        <f>Calcs!F84</f>
        <v>1/160</v>
      </c>
      <c r="G46" s="1">
        <f>Calcs!H84</f>
        <v>6.3</v>
      </c>
      <c r="H46" s="1">
        <f ca="1">Calcs!I84</f>
        <v>100</v>
      </c>
      <c r="I46" s="32" t="str">
        <f>TEXT(Calcs!$F$66,"0.000")</f>
        <v>0.000</v>
      </c>
      <c r="J46" t="s">
        <v>16</v>
      </c>
      <c r="K46" t="s">
        <v>17</v>
      </c>
      <c r="L46" s="4" t="str">
        <f>Calcs!J84</f>
        <v>Y</v>
      </c>
      <c r="M46" t="str">
        <f>Calcs!M84</f>
        <v>Totality: 1/160</v>
      </c>
    </row>
    <row r="47" spans="1:13" x14ac:dyDescent="0.25">
      <c r="A47" t="s">
        <v>21</v>
      </c>
      <c r="B47" t="s">
        <v>74</v>
      </c>
      <c r="C47" t="str">
        <f>IF(Calcs!L85&lt;0, "-", "+")</f>
        <v>-</v>
      </c>
      <c r="D47" t="str">
        <f>_xlfn.CONCAT("00:",TEXT(ABS(Calcs!L85),"00.0"))</f>
        <v>00:40.3</v>
      </c>
      <c r="E47" t="str">
        <f t="shared" si="0"/>
        <v>6D1</v>
      </c>
      <c r="F47" s="2" t="str">
        <f>Calcs!F85</f>
        <v>1/80</v>
      </c>
      <c r="G47" s="1">
        <f>Calcs!H85</f>
        <v>6.3</v>
      </c>
      <c r="H47" s="1">
        <f ca="1">Calcs!I85</f>
        <v>100</v>
      </c>
      <c r="I47" s="32" t="str">
        <f>TEXT(Calcs!$F$66,"0.000")</f>
        <v>0.000</v>
      </c>
      <c r="J47" t="s">
        <v>16</v>
      </c>
      <c r="K47" t="s">
        <v>17</v>
      </c>
      <c r="L47" s="4" t="str">
        <f>Calcs!J85</f>
        <v>Y</v>
      </c>
      <c r="M47" t="str">
        <f>Calcs!M85</f>
        <v>Totality: 1/80</v>
      </c>
    </row>
    <row r="48" spans="1:13" x14ac:dyDescent="0.25">
      <c r="A48" t="s">
        <v>21</v>
      </c>
      <c r="B48" t="s">
        <v>74</v>
      </c>
      <c r="C48" t="str">
        <f>IF(Calcs!L86&lt;0, "-", "+")</f>
        <v>-</v>
      </c>
      <c r="D48" t="str">
        <f>_xlfn.CONCAT("00:",TEXT(ABS(Calcs!L86),"00.0"))</f>
        <v>00:38.5</v>
      </c>
      <c r="E48" t="str">
        <f t="shared" si="0"/>
        <v>6D1</v>
      </c>
      <c r="F48" s="2" t="str">
        <f>Calcs!F86</f>
        <v>1/40</v>
      </c>
      <c r="G48" s="1">
        <f>Calcs!H86</f>
        <v>6.3</v>
      </c>
      <c r="H48" s="1">
        <f ca="1">Calcs!I86</f>
        <v>100</v>
      </c>
      <c r="I48" s="32" t="str">
        <f>TEXT(Calcs!$F$66,"0.000")</f>
        <v>0.000</v>
      </c>
      <c r="J48" t="s">
        <v>16</v>
      </c>
      <c r="K48" t="s">
        <v>17</v>
      </c>
      <c r="L48" s="4" t="str">
        <f>Calcs!J86</f>
        <v>Y</v>
      </c>
      <c r="M48" t="str">
        <f>Calcs!M86</f>
        <v>Totality: 1/40</v>
      </c>
    </row>
    <row r="49" spans="1:13" x14ac:dyDescent="0.25">
      <c r="A49" t="s">
        <v>21</v>
      </c>
      <c r="B49" t="s">
        <v>74</v>
      </c>
      <c r="C49" t="str">
        <f>IF(Calcs!L87&lt;0, "-", "+")</f>
        <v>-</v>
      </c>
      <c r="D49" t="str">
        <f>_xlfn.CONCAT("00:",TEXT(ABS(Calcs!L87),"00.0"))</f>
        <v>00:36.7</v>
      </c>
      <c r="E49" t="str">
        <f t="shared" si="0"/>
        <v>6D1</v>
      </c>
      <c r="F49" s="2" t="str">
        <f>Calcs!F87</f>
        <v>1/10</v>
      </c>
      <c r="G49" s="1">
        <f>Calcs!H87</f>
        <v>6.3</v>
      </c>
      <c r="H49" s="1">
        <f ca="1">Calcs!I87</f>
        <v>100</v>
      </c>
      <c r="I49" s="32" t="str">
        <f>TEXT(Calcs!$F$66,"0.000")</f>
        <v>0.000</v>
      </c>
      <c r="J49" t="s">
        <v>16</v>
      </c>
      <c r="K49" t="s">
        <v>17</v>
      </c>
      <c r="L49" s="4" t="str">
        <f>Calcs!J87</f>
        <v>Y</v>
      </c>
      <c r="M49" t="str">
        <f>Calcs!M87</f>
        <v>Totality: 1/10</v>
      </c>
    </row>
    <row r="50" spans="1:13" x14ac:dyDescent="0.25">
      <c r="A50" t="s">
        <v>21</v>
      </c>
      <c r="B50" t="s">
        <v>74</v>
      </c>
      <c r="C50" t="str">
        <f>IF(Calcs!L88&lt;0, "-", "+")</f>
        <v>-</v>
      </c>
      <c r="D50" t="str">
        <f>_xlfn.CONCAT("00:",TEXT(ABS(Calcs!L88),"00.0"))</f>
        <v>00:34.9</v>
      </c>
      <c r="E50" t="str">
        <f t="shared" si="0"/>
        <v>6D1</v>
      </c>
      <c r="F50" s="2" t="str">
        <f>Calcs!F88</f>
        <v>1/2</v>
      </c>
      <c r="G50" s="1">
        <f>Calcs!H88</f>
        <v>6.3</v>
      </c>
      <c r="H50" s="1">
        <f ca="1">Calcs!I88</f>
        <v>100</v>
      </c>
      <c r="I50" s="32" t="str">
        <f>TEXT(Calcs!$F$66,"0.000")</f>
        <v>0.000</v>
      </c>
      <c r="J50" t="s">
        <v>16</v>
      </c>
      <c r="K50" t="s">
        <v>17</v>
      </c>
      <c r="L50" s="4" t="str">
        <f>Calcs!J88</f>
        <v>Y</v>
      </c>
      <c r="M50" t="str">
        <f>Calcs!M88</f>
        <v>Totality: 1/2</v>
      </c>
    </row>
    <row r="51" spans="1:13" x14ac:dyDescent="0.25">
      <c r="A51" t="s">
        <v>21</v>
      </c>
      <c r="B51" t="s">
        <v>74</v>
      </c>
      <c r="C51" t="str">
        <f>IF(Calcs!L89&lt;0, "-", "+")</f>
        <v>-</v>
      </c>
      <c r="D51" t="str">
        <f>_xlfn.CONCAT("00:",TEXT(ABS(Calcs!L89),"00.0"))</f>
        <v>00:32.6</v>
      </c>
      <c r="E51" t="str">
        <f t="shared" si="0"/>
        <v>6D1</v>
      </c>
      <c r="F51" s="2" t="str">
        <f>Calcs!F89</f>
        <v>1.6</v>
      </c>
      <c r="G51" s="1">
        <f>Calcs!H89</f>
        <v>6.3</v>
      </c>
      <c r="H51" s="1">
        <f ca="1">Calcs!I89</f>
        <v>100</v>
      </c>
      <c r="I51" s="32" t="str">
        <f>TEXT(Calcs!$F$66,"0.000")</f>
        <v>0.000</v>
      </c>
      <c r="J51" t="s">
        <v>16</v>
      </c>
      <c r="K51" t="s">
        <v>17</v>
      </c>
      <c r="L51" s="4" t="str">
        <f>Calcs!J89</f>
        <v>Y</v>
      </c>
      <c r="M51" t="str">
        <f>Calcs!M89</f>
        <v>Totality: 1.6</v>
      </c>
    </row>
    <row r="52" spans="1:13" x14ac:dyDescent="0.25">
      <c r="A52" t="s">
        <v>21</v>
      </c>
      <c r="B52" t="s">
        <v>74</v>
      </c>
      <c r="C52" t="str">
        <f>IF(Calcs!L90&lt;0, "-", "+")</f>
        <v>-</v>
      </c>
      <c r="D52" t="str">
        <f>_xlfn.CONCAT("00:",TEXT(ABS(Calcs!L90),"00.0"))</f>
        <v>00:29.3</v>
      </c>
      <c r="E52" t="str">
        <f t="shared" si="0"/>
        <v>6D1</v>
      </c>
      <c r="F52" s="2" t="str">
        <f>Calcs!F90</f>
        <v>1/1250</v>
      </c>
      <c r="G52" s="1">
        <f>Calcs!H90</f>
        <v>6.3</v>
      </c>
      <c r="H52" s="1">
        <f ca="1">Calcs!I90</f>
        <v>100</v>
      </c>
      <c r="I52" s="32" t="str">
        <f>TEXT(Calcs!$F$66,"0.000")</f>
        <v>0.000</v>
      </c>
      <c r="J52" t="s">
        <v>16</v>
      </c>
      <c r="K52" t="s">
        <v>17</v>
      </c>
      <c r="L52" s="4" t="str">
        <f>Calcs!J90</f>
        <v>Y</v>
      </c>
      <c r="M52" t="str">
        <f>Calcs!M90</f>
        <v>Totality: 1/1250</v>
      </c>
    </row>
    <row r="53" spans="1:13" x14ac:dyDescent="0.25">
      <c r="A53" t="s">
        <v>21</v>
      </c>
      <c r="B53" t="s">
        <v>74</v>
      </c>
      <c r="C53" t="str">
        <f>IF(Calcs!L91&lt;0, "-", "+")</f>
        <v>-</v>
      </c>
      <c r="D53" t="str">
        <f>_xlfn.CONCAT("00:",TEXT(ABS(Calcs!L91),"00.0"))</f>
        <v>00:27.5</v>
      </c>
      <c r="E53" t="str">
        <f t="shared" si="0"/>
        <v>6D1</v>
      </c>
      <c r="F53" s="2" t="str">
        <f>Calcs!F91</f>
        <v>1/640</v>
      </c>
      <c r="G53" s="1">
        <f>Calcs!H91</f>
        <v>6.3</v>
      </c>
      <c r="H53" s="1">
        <f ca="1">Calcs!I91</f>
        <v>100</v>
      </c>
      <c r="I53" s="32" t="str">
        <f>TEXT(Calcs!$F$66,"0.000")</f>
        <v>0.000</v>
      </c>
      <c r="J53" t="s">
        <v>16</v>
      </c>
      <c r="K53" t="s">
        <v>17</v>
      </c>
      <c r="L53" s="4" t="str">
        <f>Calcs!J91</f>
        <v>Y</v>
      </c>
      <c r="M53" t="str">
        <f>Calcs!M91</f>
        <v>Totality: 1/640</v>
      </c>
    </row>
    <row r="54" spans="1:13" x14ac:dyDescent="0.25">
      <c r="A54" t="s">
        <v>21</v>
      </c>
      <c r="B54" t="s">
        <v>74</v>
      </c>
      <c r="C54" t="str">
        <f>IF(Calcs!L92&lt;0, "-", "+")</f>
        <v>-</v>
      </c>
      <c r="D54" t="str">
        <f>_xlfn.CONCAT("00:",TEXT(ABS(Calcs!L92),"00.0"))</f>
        <v>00:25.8</v>
      </c>
      <c r="E54" t="str">
        <f t="shared" si="0"/>
        <v>6D1</v>
      </c>
      <c r="F54" s="2" t="str">
        <f>Calcs!F92</f>
        <v>1/320</v>
      </c>
      <c r="G54" s="1">
        <f>Calcs!H92</f>
        <v>6.3</v>
      </c>
      <c r="H54" s="1">
        <f ca="1">Calcs!I92</f>
        <v>100</v>
      </c>
      <c r="I54" s="32" t="str">
        <f>TEXT(Calcs!$F$66,"0.000")</f>
        <v>0.000</v>
      </c>
      <c r="J54" t="s">
        <v>16</v>
      </c>
      <c r="K54" t="s">
        <v>17</v>
      </c>
      <c r="L54" s="4" t="str">
        <f>Calcs!J92</f>
        <v>Y</v>
      </c>
      <c r="M54" t="str">
        <f>Calcs!M92</f>
        <v>Totality: 1/320</v>
      </c>
    </row>
    <row r="55" spans="1:13" x14ac:dyDescent="0.25">
      <c r="A55" t="s">
        <v>21</v>
      </c>
      <c r="B55" t="s">
        <v>74</v>
      </c>
      <c r="C55" t="str">
        <f>IF(Calcs!L93&lt;0, "-", "+")</f>
        <v>-</v>
      </c>
      <c r="D55" t="str">
        <f>_xlfn.CONCAT("00:",TEXT(ABS(Calcs!L93),"00.0"))</f>
        <v>00:24.0</v>
      </c>
      <c r="E55" t="str">
        <f t="shared" si="0"/>
        <v>6D1</v>
      </c>
      <c r="F55" s="2" t="str">
        <f>Calcs!F93</f>
        <v>1/160</v>
      </c>
      <c r="G55" s="1">
        <f>Calcs!H93</f>
        <v>6.3</v>
      </c>
      <c r="H55" s="1">
        <f ca="1">Calcs!I93</f>
        <v>100</v>
      </c>
      <c r="I55" s="32" t="str">
        <f>TEXT(Calcs!$F$66,"0.000")</f>
        <v>0.000</v>
      </c>
      <c r="J55" t="s">
        <v>16</v>
      </c>
      <c r="K55" t="s">
        <v>17</v>
      </c>
      <c r="L55" s="4" t="str">
        <f>Calcs!J93</f>
        <v>Y</v>
      </c>
      <c r="M55" t="str">
        <f>Calcs!M93</f>
        <v>Totality: 1/160</v>
      </c>
    </row>
    <row r="56" spans="1:13" x14ac:dyDescent="0.25">
      <c r="A56" t="s">
        <v>21</v>
      </c>
      <c r="B56" t="s">
        <v>74</v>
      </c>
      <c r="C56" t="str">
        <f>IF(Calcs!L94&lt;0, "-", "+")</f>
        <v>-</v>
      </c>
      <c r="D56" t="str">
        <f>_xlfn.CONCAT("00:",TEXT(ABS(Calcs!L94),"00.0"))</f>
        <v>00:22.3</v>
      </c>
      <c r="E56" t="str">
        <f t="shared" si="0"/>
        <v>6D1</v>
      </c>
      <c r="F56" s="2" t="str">
        <f>Calcs!F94</f>
        <v>1/80</v>
      </c>
      <c r="G56" s="1">
        <f>Calcs!H94</f>
        <v>6.3</v>
      </c>
      <c r="H56" s="1">
        <f ca="1">Calcs!I94</f>
        <v>100</v>
      </c>
      <c r="I56" s="32" t="str">
        <f>TEXT(Calcs!$F$66,"0.000")</f>
        <v>0.000</v>
      </c>
      <c r="J56" t="s">
        <v>16</v>
      </c>
      <c r="K56" t="s">
        <v>17</v>
      </c>
      <c r="L56" s="4" t="str">
        <f>Calcs!J94</f>
        <v>Y</v>
      </c>
      <c r="M56" t="str">
        <f>Calcs!M94</f>
        <v>Totality: 1/80</v>
      </c>
    </row>
    <row r="57" spans="1:13" x14ac:dyDescent="0.25">
      <c r="A57" t="s">
        <v>21</v>
      </c>
      <c r="B57" t="s">
        <v>74</v>
      </c>
      <c r="C57" t="str">
        <f>IF(Calcs!L95&lt;0, "-", "+")</f>
        <v>-</v>
      </c>
      <c r="D57" t="str">
        <f>_xlfn.CONCAT("00:",TEXT(ABS(Calcs!L95),"00.0"))</f>
        <v>00:20.5</v>
      </c>
      <c r="E57" t="str">
        <f t="shared" si="0"/>
        <v>6D1</v>
      </c>
      <c r="F57" s="2" t="str">
        <f>Calcs!F95</f>
        <v>1/40</v>
      </c>
      <c r="G57" s="1">
        <f>Calcs!H95</f>
        <v>6.3</v>
      </c>
      <c r="H57" s="1">
        <f ca="1">Calcs!I95</f>
        <v>100</v>
      </c>
      <c r="I57" s="32" t="str">
        <f>TEXT(Calcs!$F$66,"0.000")</f>
        <v>0.000</v>
      </c>
      <c r="J57" t="s">
        <v>16</v>
      </c>
      <c r="K57" t="s">
        <v>17</v>
      </c>
      <c r="L57" s="4" t="str">
        <f>Calcs!J95</f>
        <v>Y</v>
      </c>
      <c r="M57" t="str">
        <f>Calcs!M95</f>
        <v>Totality: 1/40</v>
      </c>
    </row>
    <row r="58" spans="1:13" x14ac:dyDescent="0.25">
      <c r="A58" t="s">
        <v>21</v>
      </c>
      <c r="B58" t="s">
        <v>74</v>
      </c>
      <c r="C58" t="str">
        <f>IF(Calcs!L96&lt;0, "-", "+")</f>
        <v>-</v>
      </c>
      <c r="D58" t="str">
        <f>_xlfn.CONCAT("00:",TEXT(ABS(Calcs!L96),"00.0"))</f>
        <v>00:18.7</v>
      </c>
      <c r="E58" t="str">
        <f t="shared" si="0"/>
        <v>6D1</v>
      </c>
      <c r="F58" s="2" t="str">
        <f>Calcs!F96</f>
        <v>1/20</v>
      </c>
      <c r="G58" s="1">
        <f>Calcs!H96</f>
        <v>6.3</v>
      </c>
      <c r="H58" s="1">
        <f ca="1">Calcs!I96</f>
        <v>100</v>
      </c>
      <c r="I58" s="32" t="str">
        <f>TEXT(Calcs!$F$66,"0.000")</f>
        <v>0.000</v>
      </c>
      <c r="J58" t="s">
        <v>16</v>
      </c>
      <c r="K58" t="s">
        <v>17</v>
      </c>
      <c r="L58" s="4" t="str">
        <f>Calcs!J96</f>
        <v>Y</v>
      </c>
      <c r="M58" t="str">
        <f>Calcs!M96</f>
        <v>Totality: 1/20</v>
      </c>
    </row>
    <row r="59" spans="1:13" x14ac:dyDescent="0.25">
      <c r="A59" t="s">
        <v>21</v>
      </c>
      <c r="B59" t="s">
        <v>74</v>
      </c>
      <c r="C59" t="str">
        <f>IF(Calcs!L97&lt;0, "-", "+")</f>
        <v>-</v>
      </c>
      <c r="D59" t="str">
        <f>_xlfn.CONCAT("00:",TEXT(ABS(Calcs!L97),"00.0"))</f>
        <v>00:16.9</v>
      </c>
      <c r="E59" t="str">
        <f t="shared" si="0"/>
        <v>6D1</v>
      </c>
      <c r="F59" s="2" t="str">
        <f>Calcs!F97</f>
        <v>1/10</v>
      </c>
      <c r="G59" s="1">
        <f>Calcs!H97</f>
        <v>6.3</v>
      </c>
      <c r="H59" s="1">
        <f ca="1">Calcs!I97</f>
        <v>100</v>
      </c>
      <c r="I59" s="32" t="str">
        <f>TEXT(Calcs!$F$66,"0.000")</f>
        <v>0.000</v>
      </c>
      <c r="J59" t="s">
        <v>16</v>
      </c>
      <c r="K59" t="s">
        <v>17</v>
      </c>
      <c r="L59" s="4" t="str">
        <f>Calcs!J97</f>
        <v>Y</v>
      </c>
      <c r="M59" t="str">
        <f>Calcs!M97</f>
        <v>Totality: 1/10</v>
      </c>
    </row>
    <row r="60" spans="1:13" x14ac:dyDescent="0.25">
      <c r="A60" t="s">
        <v>21</v>
      </c>
      <c r="B60" t="s">
        <v>74</v>
      </c>
      <c r="C60" t="str">
        <f>IF(Calcs!L98&lt;0, "-", "+")</f>
        <v>-</v>
      </c>
      <c r="D60" t="str">
        <f>_xlfn.CONCAT("00:",TEXT(ABS(Calcs!L98),"00.0"))</f>
        <v>00:15.1</v>
      </c>
      <c r="E60" t="str">
        <f t="shared" si="0"/>
        <v>6D1</v>
      </c>
      <c r="F60" s="2" t="str">
        <f>Calcs!F98</f>
        <v>1/5</v>
      </c>
      <c r="G60" s="1">
        <f>Calcs!H98</f>
        <v>6.3</v>
      </c>
      <c r="H60" s="1">
        <f ca="1">Calcs!I98</f>
        <v>100</v>
      </c>
      <c r="I60" s="32" t="str">
        <f>TEXT(Calcs!$F$66,"0.000")</f>
        <v>0.000</v>
      </c>
      <c r="J60" t="s">
        <v>16</v>
      </c>
      <c r="K60" t="s">
        <v>17</v>
      </c>
      <c r="L60" s="4" t="str">
        <f>Calcs!J98</f>
        <v>Y</v>
      </c>
      <c r="M60" t="str">
        <f>Calcs!M98</f>
        <v>Totality: 1/5</v>
      </c>
    </row>
    <row r="61" spans="1:13" x14ac:dyDescent="0.25">
      <c r="A61" t="s">
        <v>21</v>
      </c>
      <c r="B61" t="s">
        <v>74</v>
      </c>
      <c r="C61" t="str">
        <f>IF(Calcs!L99&lt;0, "-", "+")</f>
        <v>-</v>
      </c>
      <c r="D61" t="str">
        <f>_xlfn.CONCAT("00:",TEXT(ABS(Calcs!L99),"00.0"))</f>
        <v>00:13.1</v>
      </c>
      <c r="E61" t="str">
        <f t="shared" si="0"/>
        <v>6D1</v>
      </c>
      <c r="F61" s="2" t="str">
        <f>Calcs!F99</f>
        <v>1/2</v>
      </c>
      <c r="G61" s="1">
        <f>Calcs!H99</f>
        <v>6.3</v>
      </c>
      <c r="H61" s="1">
        <f ca="1">Calcs!I99</f>
        <v>100</v>
      </c>
      <c r="I61" s="32" t="str">
        <f>TEXT(Calcs!$F$66,"0.000")</f>
        <v>0.000</v>
      </c>
      <c r="J61" t="s">
        <v>16</v>
      </c>
      <c r="K61" t="s">
        <v>17</v>
      </c>
      <c r="L61" s="4" t="str">
        <f>Calcs!J99</f>
        <v>Y</v>
      </c>
      <c r="M61" t="str">
        <f>Calcs!M99</f>
        <v>Totality: 1/2</v>
      </c>
    </row>
    <row r="62" spans="1:13" x14ac:dyDescent="0.25">
      <c r="A62" t="s">
        <v>21</v>
      </c>
      <c r="B62" t="s">
        <v>74</v>
      </c>
      <c r="C62" t="str">
        <f>IF(Calcs!L100&lt;0, "-", "+")</f>
        <v>-</v>
      </c>
      <c r="D62" t="str">
        <f>_xlfn.CONCAT("00:",TEXT(ABS(Calcs!L100),"00.0"))</f>
        <v>00:10.9</v>
      </c>
      <c r="E62" t="str">
        <f t="shared" si="0"/>
        <v>6D1</v>
      </c>
      <c r="F62" s="2" t="str">
        <f>Calcs!F100</f>
        <v>1/1.3</v>
      </c>
      <c r="G62" s="1">
        <f>Calcs!H100</f>
        <v>6.3</v>
      </c>
      <c r="H62" s="1">
        <f ca="1">Calcs!I100</f>
        <v>100</v>
      </c>
      <c r="I62" s="32" t="str">
        <f>TEXT(Calcs!$F$66,"0.000")</f>
        <v>0.000</v>
      </c>
      <c r="J62" t="s">
        <v>16</v>
      </c>
      <c r="K62" t="s">
        <v>17</v>
      </c>
      <c r="L62" s="4" t="str">
        <f>Calcs!J100</f>
        <v>Y</v>
      </c>
      <c r="M62" t="str">
        <f>Calcs!M100</f>
        <v>Totality: 1/1.3</v>
      </c>
    </row>
    <row r="63" spans="1:13" x14ac:dyDescent="0.25">
      <c r="A63" t="s">
        <v>21</v>
      </c>
      <c r="B63" t="s">
        <v>74</v>
      </c>
      <c r="C63" t="str">
        <f>IF(Calcs!L101&lt;0, "-", "+")</f>
        <v>-</v>
      </c>
      <c r="D63" t="str">
        <f>_xlfn.CONCAT("00:",TEXT(ABS(Calcs!L101),"00.0"))</f>
        <v>00:08.4</v>
      </c>
      <c r="E63" t="str">
        <f t="shared" si="0"/>
        <v>6D1</v>
      </c>
      <c r="F63" s="2" t="str">
        <f>Calcs!F101</f>
        <v>1.6</v>
      </c>
      <c r="G63" s="1">
        <f>Calcs!H101</f>
        <v>6.3</v>
      </c>
      <c r="H63" s="1">
        <f ca="1">Calcs!I101</f>
        <v>100</v>
      </c>
      <c r="I63" s="32" t="str">
        <f>TEXT(Calcs!$F$66,"0.000")</f>
        <v>0.000</v>
      </c>
      <c r="J63" t="s">
        <v>16</v>
      </c>
      <c r="K63" t="s">
        <v>17</v>
      </c>
      <c r="L63" s="4" t="str">
        <f>Calcs!J101</f>
        <v>Y</v>
      </c>
      <c r="M63" t="str">
        <f>Calcs!M101</f>
        <v>Totality: 1.6</v>
      </c>
    </row>
    <row r="64" spans="1:13" x14ac:dyDescent="0.25">
      <c r="A64" t="s">
        <v>21</v>
      </c>
      <c r="B64" t="s">
        <v>74</v>
      </c>
      <c r="C64" t="str">
        <f>IF(Calcs!L102&lt;0, "-", "+")</f>
        <v>-</v>
      </c>
      <c r="D64" t="str">
        <f>_xlfn.CONCAT("00:",TEXT(ABS(Calcs!L102),"00.0"))</f>
        <v>00:05.0</v>
      </c>
      <c r="E64" t="str">
        <f t="shared" si="0"/>
        <v>6D1</v>
      </c>
      <c r="F64" s="2" t="str">
        <f>Calcs!F102</f>
        <v>4</v>
      </c>
      <c r="G64" s="1">
        <f>Calcs!H102</f>
        <v>6.3</v>
      </c>
      <c r="H64" s="1">
        <f ca="1">Calcs!I102</f>
        <v>100</v>
      </c>
      <c r="I64" s="32" t="str">
        <f>TEXT(Calcs!$F$66,"0.000")</f>
        <v>0.000</v>
      </c>
      <c r="J64" t="s">
        <v>16</v>
      </c>
      <c r="K64" t="s">
        <v>17</v>
      </c>
      <c r="L64" s="4" t="str">
        <f>Calcs!J102</f>
        <v>Y</v>
      </c>
      <c r="M64" t="str">
        <f>Calcs!M102</f>
        <v>Totality: 4</v>
      </c>
    </row>
    <row r="65" spans="1:13" x14ac:dyDescent="0.25">
      <c r="A65" t="s">
        <v>21</v>
      </c>
      <c r="B65" t="s">
        <v>74</v>
      </c>
      <c r="C65" t="str">
        <f>IF(Calcs!L103&lt;0, "-", "+")</f>
        <v>+</v>
      </c>
      <c r="D65" t="str">
        <f>_xlfn.CONCAT("00:",TEXT(ABS(Calcs!L103),"00.0"))</f>
        <v>00:00.0</v>
      </c>
      <c r="E65" t="str">
        <f t="shared" si="0"/>
        <v>6D1</v>
      </c>
      <c r="F65" s="2" t="str">
        <f>Calcs!F103</f>
        <v>4</v>
      </c>
      <c r="G65" s="1">
        <f>Calcs!H103</f>
        <v>6.3</v>
      </c>
      <c r="H65" s="1">
        <f ca="1">Calcs!I103</f>
        <v>200</v>
      </c>
      <c r="I65" s="32" t="str">
        <f>TEXT(Calcs!$F$66,"0.000")</f>
        <v>0.000</v>
      </c>
      <c r="J65" t="s">
        <v>16</v>
      </c>
      <c r="K65" t="s">
        <v>17</v>
      </c>
      <c r="L65" s="4" t="str">
        <f>Calcs!J103</f>
        <v>Y</v>
      </c>
      <c r="M65" t="str">
        <f>Calcs!M103</f>
        <v>Totality: 4</v>
      </c>
    </row>
    <row r="66" spans="1:13" x14ac:dyDescent="0.25">
      <c r="A66" t="s">
        <v>21</v>
      </c>
      <c r="B66" t="s">
        <v>74</v>
      </c>
      <c r="C66" t="str">
        <f>IF(Calcs!L104&lt;0, "-", "+")</f>
        <v>+</v>
      </c>
      <c r="D66" t="str">
        <f>_xlfn.CONCAT("00:",TEXT(ABS(Calcs!L104),"00.0"))</f>
        <v>00:05.0</v>
      </c>
      <c r="E66" t="str">
        <f t="shared" si="0"/>
        <v>6D1</v>
      </c>
      <c r="F66" s="2" t="str">
        <f>Calcs!F104</f>
        <v>4</v>
      </c>
      <c r="G66" s="1">
        <f>Calcs!H104</f>
        <v>6.3</v>
      </c>
      <c r="H66" s="1">
        <f ca="1">Calcs!I104</f>
        <v>400</v>
      </c>
      <c r="I66" s="32" t="str">
        <f>TEXT(Calcs!$F$66,"0.000")</f>
        <v>0.000</v>
      </c>
      <c r="J66" t="s">
        <v>16</v>
      </c>
      <c r="K66" t="s">
        <v>17</v>
      </c>
      <c r="L66" s="4" t="str">
        <f>Calcs!J104</f>
        <v>Y</v>
      </c>
      <c r="M66" t="str">
        <f>Calcs!M104</f>
        <v>Totality: 4</v>
      </c>
    </row>
    <row r="67" spans="1:13" x14ac:dyDescent="0.25">
      <c r="A67" t="s">
        <v>21</v>
      </c>
      <c r="B67" t="s">
        <v>74</v>
      </c>
      <c r="C67" t="str">
        <f>IF(Calcs!L105&lt;0, "-", "+")</f>
        <v>+</v>
      </c>
      <c r="D67" t="str">
        <f>_xlfn.CONCAT("00:",TEXT(ABS(Calcs!L105),"00.0"))</f>
        <v>00:10.0</v>
      </c>
      <c r="E67" t="str">
        <f t="shared" si="0"/>
        <v>6D1</v>
      </c>
      <c r="F67" s="2" t="str">
        <f>Calcs!F105</f>
        <v>1.6</v>
      </c>
      <c r="G67" s="1">
        <f>Calcs!H105</f>
        <v>6.3</v>
      </c>
      <c r="H67" s="1">
        <f ca="1">Calcs!I105</f>
        <v>200</v>
      </c>
      <c r="I67" s="32" t="str">
        <f>TEXT(Calcs!$F$66,"0.000")</f>
        <v>0.000</v>
      </c>
      <c r="J67" t="s">
        <v>16</v>
      </c>
      <c r="K67" t="s">
        <v>17</v>
      </c>
      <c r="L67" s="4" t="str">
        <f>Calcs!J105</f>
        <v>Y</v>
      </c>
      <c r="M67" t="str">
        <f>Calcs!M105</f>
        <v>Totality: 1.6</v>
      </c>
    </row>
    <row r="68" spans="1:13" x14ac:dyDescent="0.25">
      <c r="A68" t="s">
        <v>21</v>
      </c>
      <c r="B68" t="s">
        <v>74</v>
      </c>
      <c r="C68" t="str">
        <f>IF(Calcs!L106&lt;0, "-", "+")</f>
        <v>+</v>
      </c>
      <c r="D68" t="str">
        <f>_xlfn.CONCAT("00:",TEXT(ABS(Calcs!L106),"00.0"))</f>
        <v>00:13.4</v>
      </c>
      <c r="E68" t="str">
        <f t="shared" si="0"/>
        <v>6D1</v>
      </c>
      <c r="F68" s="2" t="str">
        <f>Calcs!F106</f>
        <v>1.6</v>
      </c>
      <c r="G68" s="1">
        <f>Calcs!H106</f>
        <v>6.3</v>
      </c>
      <c r="H68" s="1">
        <f ca="1">Calcs!I106</f>
        <v>100</v>
      </c>
      <c r="I68" s="32" t="str">
        <f>TEXT(Calcs!$F$66,"0.000")</f>
        <v>0.000</v>
      </c>
      <c r="J68" t="s">
        <v>16</v>
      </c>
      <c r="K68" t="s">
        <v>17</v>
      </c>
      <c r="L68" s="4" t="str">
        <f>Calcs!J106</f>
        <v>Y</v>
      </c>
      <c r="M68" t="str">
        <f>Calcs!M106</f>
        <v>Totality: 1.6</v>
      </c>
    </row>
    <row r="69" spans="1:13" x14ac:dyDescent="0.25">
      <c r="A69" t="s">
        <v>21</v>
      </c>
      <c r="B69" t="s">
        <v>74</v>
      </c>
      <c r="C69" t="str">
        <f>IF(Calcs!L107&lt;0, "-", "+")</f>
        <v>+</v>
      </c>
      <c r="D69" t="str">
        <f>_xlfn.CONCAT("00:",TEXT(ABS(Calcs!L107),"00.0"))</f>
        <v>00:16.7</v>
      </c>
      <c r="E69" t="str">
        <f t="shared" si="0"/>
        <v>6D1</v>
      </c>
      <c r="F69" s="2" t="str">
        <f>Calcs!F107</f>
        <v>1/1.3</v>
      </c>
      <c r="G69" s="1">
        <f>Calcs!H107</f>
        <v>6.3</v>
      </c>
      <c r="H69" s="1">
        <f ca="1">Calcs!I107</f>
        <v>100</v>
      </c>
      <c r="I69" s="32" t="str">
        <f>TEXT(Calcs!$F$66,"0.000")</f>
        <v>0.000</v>
      </c>
      <c r="J69" t="s">
        <v>16</v>
      </c>
      <c r="K69" t="s">
        <v>17</v>
      </c>
      <c r="L69" s="4" t="str">
        <f>Calcs!J107</f>
        <v>Y</v>
      </c>
      <c r="M69" t="str">
        <f>Calcs!M107</f>
        <v>Totality: 1/1.3</v>
      </c>
    </row>
    <row r="70" spans="1:13" x14ac:dyDescent="0.25">
      <c r="A70" t="s">
        <v>21</v>
      </c>
      <c r="B70" t="s">
        <v>74</v>
      </c>
      <c r="C70" t="str">
        <f>IF(Calcs!L108&lt;0, "-", "+")</f>
        <v>+</v>
      </c>
      <c r="D70" t="str">
        <f>_xlfn.CONCAT("00:",TEXT(ABS(Calcs!L108),"00.0"))</f>
        <v>00:19.2</v>
      </c>
      <c r="E70" t="str">
        <f t="shared" si="0"/>
        <v>6D1</v>
      </c>
      <c r="F70" s="2" t="str">
        <f>Calcs!F108</f>
        <v>1/2</v>
      </c>
      <c r="G70" s="1">
        <f>Calcs!H108</f>
        <v>6.3</v>
      </c>
      <c r="H70" s="1">
        <f ca="1">Calcs!I108</f>
        <v>100</v>
      </c>
      <c r="I70" s="32" t="str">
        <f>TEXT(Calcs!$F$66,"0.000")</f>
        <v>0.000</v>
      </c>
      <c r="J70" t="s">
        <v>16</v>
      </c>
      <c r="K70" t="s">
        <v>17</v>
      </c>
      <c r="L70" s="4" t="str">
        <f>Calcs!J108</f>
        <v>Y</v>
      </c>
      <c r="M70" t="str">
        <f>Calcs!M108</f>
        <v>Totality: 1/2</v>
      </c>
    </row>
    <row r="71" spans="1:13" x14ac:dyDescent="0.25">
      <c r="A71" t="s">
        <v>21</v>
      </c>
      <c r="B71" t="s">
        <v>74</v>
      </c>
      <c r="C71" t="str">
        <f>IF(Calcs!L109&lt;0, "-", "+")</f>
        <v>+</v>
      </c>
      <c r="D71" t="str">
        <f>_xlfn.CONCAT("00:",TEXT(ABS(Calcs!L109),"00.0"))</f>
        <v>00:21.5</v>
      </c>
      <c r="E71" t="str">
        <f t="shared" si="0"/>
        <v>6D1</v>
      </c>
      <c r="F71" s="2" t="str">
        <f>Calcs!F109</f>
        <v>1/5</v>
      </c>
      <c r="G71" s="1">
        <f>Calcs!H109</f>
        <v>6.3</v>
      </c>
      <c r="H71" s="1">
        <f ca="1">Calcs!I109</f>
        <v>100</v>
      </c>
      <c r="I71" s="32" t="str">
        <f>TEXT(Calcs!$F$66,"0.000")</f>
        <v>0.000</v>
      </c>
      <c r="J71" t="s">
        <v>16</v>
      </c>
      <c r="K71" t="s">
        <v>17</v>
      </c>
      <c r="L71" s="4" t="str">
        <f>Calcs!J109</f>
        <v>Y</v>
      </c>
      <c r="M71" t="str">
        <f>Calcs!M109</f>
        <v>Totality: 1/5</v>
      </c>
    </row>
    <row r="72" spans="1:13" x14ac:dyDescent="0.25">
      <c r="A72" t="s">
        <v>21</v>
      </c>
      <c r="B72" t="s">
        <v>74</v>
      </c>
      <c r="C72" t="str">
        <f>IF(Calcs!L110&lt;0, "-", "+")</f>
        <v>+</v>
      </c>
      <c r="D72" t="str">
        <f>_xlfn.CONCAT("00:",TEXT(ABS(Calcs!L110),"00.0"))</f>
        <v>00:23.4</v>
      </c>
      <c r="E72" t="str">
        <f t="shared" si="0"/>
        <v>6D1</v>
      </c>
      <c r="F72" s="2" t="str">
        <f>Calcs!F110</f>
        <v>1/10</v>
      </c>
      <c r="G72" s="1">
        <f>Calcs!H110</f>
        <v>6.3</v>
      </c>
      <c r="H72" s="1">
        <f ca="1">Calcs!I110</f>
        <v>100</v>
      </c>
      <c r="I72" s="32" t="str">
        <f>TEXT(Calcs!$F$66,"0.000")</f>
        <v>0.000</v>
      </c>
      <c r="J72" t="s">
        <v>16</v>
      </c>
      <c r="K72" t="s">
        <v>17</v>
      </c>
      <c r="L72" s="4" t="str">
        <f>Calcs!J110</f>
        <v>Y</v>
      </c>
      <c r="M72" t="str">
        <f>Calcs!M110</f>
        <v>Totality: 1/10</v>
      </c>
    </row>
    <row r="73" spans="1:13" x14ac:dyDescent="0.25">
      <c r="A73" t="s">
        <v>21</v>
      </c>
      <c r="B73" t="s">
        <v>74</v>
      </c>
      <c r="C73" t="str">
        <f>IF(Calcs!L111&lt;0, "-", "+")</f>
        <v>+</v>
      </c>
      <c r="D73" t="str">
        <f>_xlfn.CONCAT("00:",TEXT(ABS(Calcs!L111),"00.0"))</f>
        <v>00:25.3</v>
      </c>
      <c r="E73" t="str">
        <f t="shared" si="0"/>
        <v>6D1</v>
      </c>
      <c r="F73" s="2" t="str">
        <f>Calcs!F111</f>
        <v>1/20</v>
      </c>
      <c r="G73" s="1">
        <f>Calcs!H111</f>
        <v>6.3</v>
      </c>
      <c r="H73" s="1">
        <f ca="1">Calcs!I111</f>
        <v>100</v>
      </c>
      <c r="I73" s="32" t="str">
        <f>TEXT(Calcs!$F$66,"0.000")</f>
        <v>0.000</v>
      </c>
      <c r="J73" t="s">
        <v>16</v>
      </c>
      <c r="K73" t="s">
        <v>17</v>
      </c>
      <c r="L73" s="4" t="str">
        <f>Calcs!J111</f>
        <v>Y</v>
      </c>
      <c r="M73" t="str">
        <f>Calcs!M111</f>
        <v>Totality: 1/20</v>
      </c>
    </row>
    <row r="74" spans="1:13" x14ac:dyDescent="0.25">
      <c r="A74" t="s">
        <v>21</v>
      </c>
      <c r="B74" t="s">
        <v>74</v>
      </c>
      <c r="C74" t="str">
        <f>IF(Calcs!L112&lt;0, "-", "+")</f>
        <v>+</v>
      </c>
      <c r="D74" t="str">
        <f>_xlfn.CONCAT("00:",TEXT(ABS(Calcs!L112),"00.0"))</f>
        <v>00:27.1</v>
      </c>
      <c r="E74" t="str">
        <f t="shared" si="0"/>
        <v>6D1</v>
      </c>
      <c r="F74" s="2" t="str">
        <f>Calcs!F112</f>
        <v>1/40</v>
      </c>
      <c r="G74" s="1">
        <f>Calcs!H112</f>
        <v>6.3</v>
      </c>
      <c r="H74" s="1">
        <f ca="1">Calcs!I112</f>
        <v>100</v>
      </c>
      <c r="I74" s="32" t="str">
        <f>TEXT(Calcs!$F$66,"0.000")</f>
        <v>0.000</v>
      </c>
      <c r="J74" t="s">
        <v>16</v>
      </c>
      <c r="K74" t="s">
        <v>17</v>
      </c>
      <c r="L74" s="4" t="str">
        <f>Calcs!J112</f>
        <v>Y</v>
      </c>
      <c r="M74" t="str">
        <f>Calcs!M112</f>
        <v>Totality: 1/40</v>
      </c>
    </row>
    <row r="75" spans="1:13" x14ac:dyDescent="0.25">
      <c r="A75" t="s">
        <v>21</v>
      </c>
      <c r="B75" t="s">
        <v>74</v>
      </c>
      <c r="C75" t="str">
        <f>IF(Calcs!L113&lt;0, "-", "+")</f>
        <v>+</v>
      </c>
      <c r="D75" t="str">
        <f>_xlfn.CONCAT("00:",TEXT(ABS(Calcs!L113),"00.0"))</f>
        <v>00:28.8</v>
      </c>
      <c r="E75" t="str">
        <f t="shared" si="0"/>
        <v>6D1</v>
      </c>
      <c r="F75" s="2" t="str">
        <f>Calcs!F113</f>
        <v>1/80</v>
      </c>
      <c r="G75" s="1">
        <f>Calcs!H113</f>
        <v>6.3</v>
      </c>
      <c r="H75" s="1">
        <f ca="1">Calcs!I113</f>
        <v>100</v>
      </c>
      <c r="I75" s="32" t="str">
        <f>TEXT(Calcs!$F$66,"0.000")</f>
        <v>0.000</v>
      </c>
      <c r="J75" t="s">
        <v>16</v>
      </c>
      <c r="K75" t="s">
        <v>17</v>
      </c>
      <c r="L75" s="4" t="str">
        <f>Calcs!J113</f>
        <v>Y</v>
      </c>
      <c r="M75" t="str">
        <f>Calcs!M113</f>
        <v>Totality: 1/80</v>
      </c>
    </row>
    <row r="76" spans="1:13" x14ac:dyDescent="0.25">
      <c r="A76" t="s">
        <v>21</v>
      </c>
      <c r="B76" t="s">
        <v>74</v>
      </c>
      <c r="C76" t="str">
        <f>IF(Calcs!L114&lt;0, "-", "+")</f>
        <v>+</v>
      </c>
      <c r="D76" t="str">
        <f>_xlfn.CONCAT("00:",TEXT(ABS(Calcs!L114),"00.0"))</f>
        <v>00:30.6</v>
      </c>
      <c r="E76" t="str">
        <f t="shared" si="0"/>
        <v>6D1</v>
      </c>
      <c r="F76" s="2" t="str">
        <f>Calcs!F114</f>
        <v>1/160</v>
      </c>
      <c r="G76" s="1">
        <f>Calcs!H114</f>
        <v>6.3</v>
      </c>
      <c r="H76" s="1">
        <f ca="1">Calcs!I114</f>
        <v>100</v>
      </c>
      <c r="I76" s="32" t="str">
        <f>TEXT(Calcs!$F$66,"0.000")</f>
        <v>0.000</v>
      </c>
      <c r="J76" t="s">
        <v>16</v>
      </c>
      <c r="K76" t="s">
        <v>17</v>
      </c>
      <c r="L76" s="4" t="str">
        <f>Calcs!J114</f>
        <v>Y</v>
      </c>
      <c r="M76" t="str">
        <f>Calcs!M114</f>
        <v>Totality: 1/160</v>
      </c>
    </row>
    <row r="77" spans="1:13" x14ac:dyDescent="0.25">
      <c r="A77" t="s">
        <v>21</v>
      </c>
      <c r="B77" t="s">
        <v>74</v>
      </c>
      <c r="C77" t="str">
        <f>IF(Calcs!L115&lt;0, "-", "+")</f>
        <v>+</v>
      </c>
      <c r="D77" t="str">
        <f>_xlfn.CONCAT("00:",TEXT(ABS(Calcs!L115),"00.0"))</f>
        <v>00:32.4</v>
      </c>
      <c r="E77" t="str">
        <f t="shared" si="0"/>
        <v>6D1</v>
      </c>
      <c r="F77" s="2" t="str">
        <f>Calcs!F115</f>
        <v>1/320</v>
      </c>
      <c r="G77" s="1">
        <f>Calcs!H115</f>
        <v>6.3</v>
      </c>
      <c r="H77" s="1">
        <f ca="1">Calcs!I115</f>
        <v>100</v>
      </c>
      <c r="I77" s="32" t="str">
        <f>TEXT(Calcs!$F$66,"0.000")</f>
        <v>0.000</v>
      </c>
      <c r="J77" t="s">
        <v>16</v>
      </c>
      <c r="K77" t="s">
        <v>17</v>
      </c>
      <c r="L77" s="4" t="str">
        <f>Calcs!J115</f>
        <v>Y</v>
      </c>
      <c r="M77" t="str">
        <f>Calcs!M115</f>
        <v>Totality: 1/320</v>
      </c>
    </row>
    <row r="78" spans="1:13" x14ac:dyDescent="0.25">
      <c r="A78" t="s">
        <v>21</v>
      </c>
      <c r="B78" t="s">
        <v>74</v>
      </c>
      <c r="C78" t="str">
        <f>IF(Calcs!L116&lt;0, "-", "+")</f>
        <v>+</v>
      </c>
      <c r="D78" t="str">
        <f>_xlfn.CONCAT("00:",TEXT(ABS(Calcs!L116),"00.0"))</f>
        <v>00:34.1</v>
      </c>
      <c r="E78" t="str">
        <f t="shared" si="0"/>
        <v>6D1</v>
      </c>
      <c r="F78" s="2" t="str">
        <f>Calcs!F116</f>
        <v>1/640</v>
      </c>
      <c r="G78" s="1">
        <f>Calcs!H116</f>
        <v>6.3</v>
      </c>
      <c r="H78" s="1">
        <f ca="1">Calcs!I116</f>
        <v>100</v>
      </c>
      <c r="I78" s="32" t="str">
        <f>TEXT(Calcs!$F$66,"0.000")</f>
        <v>0.000</v>
      </c>
      <c r="J78" t="s">
        <v>16</v>
      </c>
      <c r="K78" t="s">
        <v>17</v>
      </c>
      <c r="L78" s="4" t="str">
        <f>Calcs!J116</f>
        <v>Y</v>
      </c>
      <c r="M78" t="str">
        <f>Calcs!M116</f>
        <v>Totality: 1/640</v>
      </c>
    </row>
    <row r="79" spans="1:13" x14ac:dyDescent="0.25">
      <c r="A79" t="s">
        <v>21</v>
      </c>
      <c r="B79" t="s">
        <v>74</v>
      </c>
      <c r="C79" t="str">
        <f>IF(Calcs!L117&lt;0, "-", "+")</f>
        <v>+</v>
      </c>
      <c r="D79" t="str">
        <f>_xlfn.CONCAT("00:",TEXT(ABS(Calcs!L117),"00.0"))</f>
        <v>00:35.9</v>
      </c>
      <c r="E79" t="str">
        <f t="shared" si="0"/>
        <v>6D1</v>
      </c>
      <c r="F79" s="2" t="str">
        <f>Calcs!F117</f>
        <v>1/1250</v>
      </c>
      <c r="G79" s="1">
        <f>Calcs!H117</f>
        <v>6.3</v>
      </c>
      <c r="H79" s="1">
        <f ca="1">Calcs!I117</f>
        <v>100</v>
      </c>
      <c r="I79" s="32" t="str">
        <f>TEXT(Calcs!$F$66,"0.000")</f>
        <v>0.000</v>
      </c>
      <c r="J79" t="s">
        <v>16</v>
      </c>
      <c r="K79" t="s">
        <v>17</v>
      </c>
      <c r="L79" s="4" t="str">
        <f>Calcs!J117</f>
        <v>Y</v>
      </c>
      <c r="M79" t="str">
        <f>Calcs!M117</f>
        <v>Totality: 1/1250</v>
      </c>
    </row>
    <row r="80" spans="1:13" x14ac:dyDescent="0.25">
      <c r="A80" t="s">
        <v>21</v>
      </c>
      <c r="B80" t="s">
        <v>74</v>
      </c>
      <c r="C80" t="str">
        <f>IF(Calcs!L118&lt;0, "-", "+")</f>
        <v>+</v>
      </c>
      <c r="D80" t="str">
        <f>_xlfn.CONCAT("00:",TEXT(ABS(Calcs!L118),"00.0"))</f>
        <v>00:37.6</v>
      </c>
      <c r="E80" t="str">
        <f t="shared" si="0"/>
        <v>6D1</v>
      </c>
      <c r="F80" s="2" t="str">
        <f>Calcs!F118</f>
        <v>1/1.3</v>
      </c>
      <c r="G80" s="1">
        <f>Calcs!H118</f>
        <v>6.3</v>
      </c>
      <c r="H80" s="1">
        <f ca="1">Calcs!I118</f>
        <v>100</v>
      </c>
      <c r="I80" s="32" t="str">
        <f>TEXT(Calcs!$F$66,"0.000")</f>
        <v>0.000</v>
      </c>
      <c r="J80" t="s">
        <v>16</v>
      </c>
      <c r="K80" t="s">
        <v>17</v>
      </c>
      <c r="L80" s="4" t="str">
        <f>Calcs!J118</f>
        <v>Y</v>
      </c>
      <c r="M80" t="str">
        <f>Calcs!M118</f>
        <v>Totality: 1/1.3</v>
      </c>
    </row>
    <row r="81" spans="1:13" x14ac:dyDescent="0.25">
      <c r="A81" t="s">
        <v>21</v>
      </c>
      <c r="B81" t="s">
        <v>74</v>
      </c>
      <c r="C81" t="str">
        <f>IF(Calcs!L119&lt;0, "-", "+")</f>
        <v>+</v>
      </c>
      <c r="D81" t="str">
        <f>_xlfn.CONCAT("00:",TEXT(ABS(Calcs!L119),"00.0"))</f>
        <v>00:40.1</v>
      </c>
      <c r="E81" t="str">
        <f t="shared" si="0"/>
        <v>6D1</v>
      </c>
      <c r="F81" s="2" t="str">
        <f>Calcs!F119</f>
        <v>1/5</v>
      </c>
      <c r="G81" s="1">
        <f>Calcs!H119</f>
        <v>6.3</v>
      </c>
      <c r="H81" s="1">
        <f ca="1">Calcs!I119</f>
        <v>100</v>
      </c>
      <c r="I81" s="32" t="str">
        <f>TEXT(Calcs!$F$66,"0.000")</f>
        <v>0.000</v>
      </c>
      <c r="J81" t="s">
        <v>16</v>
      </c>
      <c r="K81" t="s">
        <v>17</v>
      </c>
      <c r="L81" s="4" t="str">
        <f>Calcs!J119</f>
        <v>Y</v>
      </c>
      <c r="M81" t="str">
        <f>Calcs!M119</f>
        <v>Totality: 1/5</v>
      </c>
    </row>
    <row r="82" spans="1:13" x14ac:dyDescent="0.25">
      <c r="A82" t="s">
        <v>21</v>
      </c>
      <c r="B82" t="s">
        <v>74</v>
      </c>
      <c r="C82" t="str">
        <f>IF(Calcs!L120&lt;0, "-", "+")</f>
        <v>+</v>
      </c>
      <c r="D82" t="str">
        <f>_xlfn.CONCAT("00:",TEXT(ABS(Calcs!L120),"00.0"))</f>
        <v>00:42.1</v>
      </c>
      <c r="E82" t="str">
        <f t="shared" si="0"/>
        <v>6D1</v>
      </c>
      <c r="F82" s="2" t="str">
        <f>Calcs!F120</f>
        <v>1/20</v>
      </c>
      <c r="G82" s="1">
        <f>Calcs!H120</f>
        <v>6.3</v>
      </c>
      <c r="H82" s="1">
        <f ca="1">Calcs!I120</f>
        <v>100</v>
      </c>
      <c r="I82" s="32" t="str">
        <f>TEXT(Calcs!$F$66,"0.000")</f>
        <v>0.000</v>
      </c>
      <c r="J82" t="s">
        <v>16</v>
      </c>
      <c r="K82" t="s">
        <v>17</v>
      </c>
      <c r="L82" s="4" t="str">
        <f>Calcs!J120</f>
        <v>Y</v>
      </c>
      <c r="M82" t="str">
        <f>Calcs!M120</f>
        <v>Totality: 1/20</v>
      </c>
    </row>
    <row r="83" spans="1:13" x14ac:dyDescent="0.25">
      <c r="A83" t="s">
        <v>21</v>
      </c>
      <c r="B83" t="s">
        <v>74</v>
      </c>
      <c r="C83" t="str">
        <f>IF(Calcs!L121&lt;0, "-", "+")</f>
        <v>+</v>
      </c>
      <c r="D83" t="str">
        <f>_xlfn.CONCAT("00:",TEXT(ABS(Calcs!L121),"00.0"))</f>
        <v>00:43.9</v>
      </c>
      <c r="E83" t="str">
        <f t="shared" si="0"/>
        <v>6D1</v>
      </c>
      <c r="F83" s="2" t="str">
        <f>Calcs!F121</f>
        <v>1/320</v>
      </c>
      <c r="G83" s="1">
        <f>Calcs!H121</f>
        <v>6.3</v>
      </c>
      <c r="H83" s="1">
        <f ca="1">Calcs!I121</f>
        <v>100</v>
      </c>
      <c r="I83" s="32" t="str">
        <f>TEXT(Calcs!$F$66,"0.000")</f>
        <v>0.000</v>
      </c>
      <c r="J83" t="s">
        <v>16</v>
      </c>
      <c r="K83" t="s">
        <v>17</v>
      </c>
      <c r="L83" s="4" t="str">
        <f>Calcs!J121</f>
        <v>Y</v>
      </c>
      <c r="M83" t="str">
        <f>Calcs!M121</f>
        <v>Totality: 1/320</v>
      </c>
    </row>
    <row r="84" spans="1:13" x14ac:dyDescent="0.25">
      <c r="A84" t="s">
        <v>21</v>
      </c>
      <c r="B84" t="s">
        <v>74</v>
      </c>
      <c r="C84" t="str">
        <f>IF(Calcs!L122&lt;0, "-", "+")</f>
        <v>+</v>
      </c>
      <c r="D84" t="str">
        <f>_xlfn.CONCAT("00:",TEXT(ABS(Calcs!L122),"00.0"))</f>
        <v>00:45.6</v>
      </c>
      <c r="E84" t="str">
        <f t="shared" si="0"/>
        <v>6D1</v>
      </c>
      <c r="F84" s="2" t="str">
        <f>Calcs!F122</f>
        <v>1/1250</v>
      </c>
      <c r="G84" s="1">
        <f>Calcs!H122</f>
        <v>6.3</v>
      </c>
      <c r="H84" s="1">
        <f ca="1">Calcs!I122</f>
        <v>100</v>
      </c>
      <c r="I84" s="32" t="str">
        <f>TEXT(Calcs!$F$66,"0.000")</f>
        <v>0.000</v>
      </c>
      <c r="J84" t="s">
        <v>16</v>
      </c>
      <c r="K84" t="s">
        <v>17</v>
      </c>
      <c r="L84" s="4" t="str">
        <f>Calcs!J122</f>
        <v>N</v>
      </c>
      <c r="M84" t="str">
        <f>Calcs!M122</f>
        <v>Totality: 1/1250</v>
      </c>
    </row>
    <row r="85" spans="1:13" x14ac:dyDescent="0.25">
      <c r="A85" t="s">
        <v>149</v>
      </c>
    </row>
    <row r="86" spans="1:13" x14ac:dyDescent="0.25">
      <c r="A86" t="s">
        <v>101</v>
      </c>
    </row>
    <row r="87" spans="1:13" x14ac:dyDescent="0.25">
      <c r="A87" t="s">
        <v>101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Sheet2.ExportZoomAsCSV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13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L27"/>
  <sheetViews>
    <sheetView workbookViewId="0">
      <selection activeCell="H30" sqref="H30"/>
    </sheetView>
  </sheetViews>
  <sheetFormatPr defaultRowHeight="15" x14ac:dyDescent="0.25"/>
  <cols>
    <col min="2" max="2" width="9.140625" style="2"/>
    <col min="4" max="4" width="10.5703125" bestFit="1" customWidth="1"/>
    <col min="6" max="6" width="9.140625" style="3"/>
    <col min="7" max="7" width="14" style="3" bestFit="1" customWidth="1"/>
    <col min="8" max="8" width="16.85546875" style="3" bestFit="1" customWidth="1"/>
    <col min="10" max="10" width="9.5703125" bestFit="1" customWidth="1"/>
    <col min="11" max="11" width="9.5703125" style="4" bestFit="1" customWidth="1"/>
  </cols>
  <sheetData>
    <row r="2" spans="1:12" x14ac:dyDescent="0.25">
      <c r="H2" s="34" t="s">
        <v>125</v>
      </c>
      <c r="K2" s="36" t="s">
        <v>126</v>
      </c>
    </row>
    <row r="3" spans="1:12" x14ac:dyDescent="0.25">
      <c r="H3">
        <f>Calcs!G9</f>
        <v>0</v>
      </c>
      <c r="K3" s="4">
        <f>Calcs!G10</f>
        <v>1600</v>
      </c>
    </row>
    <row r="4" spans="1:12" x14ac:dyDescent="0.25">
      <c r="B4" s="33" t="s">
        <v>5</v>
      </c>
      <c r="C4" s="17" t="s">
        <v>5</v>
      </c>
      <c r="D4" s="17" t="s">
        <v>13</v>
      </c>
      <c r="E4" s="17" t="s">
        <v>14</v>
      </c>
      <c r="F4" s="34" t="s">
        <v>117</v>
      </c>
      <c r="G4" s="34" t="s">
        <v>138</v>
      </c>
      <c r="H4" s="17" t="s">
        <v>124</v>
      </c>
      <c r="K4" s="36" t="s">
        <v>14</v>
      </c>
      <c r="L4" s="17" t="s">
        <v>117</v>
      </c>
    </row>
    <row r="5" spans="1:12" x14ac:dyDescent="0.25">
      <c r="A5">
        <v>1</v>
      </c>
      <c r="B5" s="23" t="s">
        <v>47</v>
      </c>
      <c r="C5" s="38">
        <f>1/1250</f>
        <v>8.0000000000000004E-4</v>
      </c>
      <c r="D5" s="29">
        <v>6.3</v>
      </c>
      <c r="E5" s="24">
        <v>100</v>
      </c>
      <c r="F5" s="3">
        <v>1</v>
      </c>
      <c r="G5" s="21">
        <v>1</v>
      </c>
      <c r="J5" s="35">
        <v>0</v>
      </c>
      <c r="K5" s="4">
        <v>100</v>
      </c>
      <c r="L5">
        <f>K6/K5</f>
        <v>1.25</v>
      </c>
    </row>
    <row r="6" spans="1:12" x14ac:dyDescent="0.25">
      <c r="A6">
        <v>2</v>
      </c>
      <c r="B6" s="23" t="s">
        <v>48</v>
      </c>
      <c r="C6" s="38">
        <f>1/640</f>
        <v>1.5625000000000001E-3</v>
      </c>
      <c r="D6" s="29">
        <v>6.3</v>
      </c>
      <c r="E6" s="24">
        <v>100</v>
      </c>
      <c r="F6" s="3">
        <f>C6/C5*E6/E5*D6*D6/D5/D5</f>
        <v>1.953125</v>
      </c>
      <c r="G6" s="21">
        <f>LOG(C6/C$5*D6*D6/D$5/D$5*E6/E$5,2)</f>
        <v>0.96578428466208699</v>
      </c>
      <c r="H6" s="4">
        <f t="shared" ref="H6:H18" ca="1" si="0">MIN(OFFSET($K$5,MATCH(E6,K$5:K$21)-1+MATCH($H$3,J$5:J$21)-1,0),$K$3)</f>
        <v>100</v>
      </c>
      <c r="J6" s="35">
        <v>0.33333000000000002</v>
      </c>
      <c r="K6" s="4">
        <v>125</v>
      </c>
      <c r="L6">
        <f t="shared" ref="L6:L16" si="1">K7/K6</f>
        <v>1.28</v>
      </c>
    </row>
    <row r="7" spans="1:12" x14ac:dyDescent="0.25">
      <c r="A7">
        <v>3</v>
      </c>
      <c r="B7" s="23" t="s">
        <v>49</v>
      </c>
      <c r="C7" s="38">
        <f>1/320</f>
        <v>3.1250000000000002E-3</v>
      </c>
      <c r="D7" s="29">
        <v>6.3</v>
      </c>
      <c r="E7" s="24">
        <v>100</v>
      </c>
      <c r="F7" s="3">
        <f t="shared" ref="F7:F18" si="2">C7/C6*E7/E6*D7*D7/D6/D6</f>
        <v>2</v>
      </c>
      <c r="G7" s="21">
        <f t="shared" ref="G7:G18" si="3">LOG(C7/C$5*D7*D7/D$5/D$5*E7/E$5,2)</f>
        <v>1.965784284662087</v>
      </c>
      <c r="H7" s="4">
        <f t="shared" ca="1" si="0"/>
        <v>100</v>
      </c>
      <c r="J7" s="35">
        <v>0.66666000000000003</v>
      </c>
      <c r="K7" s="4">
        <v>160</v>
      </c>
      <c r="L7">
        <f t="shared" si="1"/>
        <v>1.25</v>
      </c>
    </row>
    <row r="8" spans="1:12" x14ac:dyDescent="0.25">
      <c r="A8">
        <v>4</v>
      </c>
      <c r="B8" s="23" t="s">
        <v>20</v>
      </c>
      <c r="C8" s="38">
        <f>1/160</f>
        <v>6.2500000000000003E-3</v>
      </c>
      <c r="D8" s="29">
        <v>6.3</v>
      </c>
      <c r="E8" s="24">
        <v>100</v>
      </c>
      <c r="F8" s="3">
        <f t="shared" si="2"/>
        <v>2</v>
      </c>
      <c r="G8" s="21">
        <f t="shared" si="3"/>
        <v>2.965784284662087</v>
      </c>
      <c r="H8" s="4">
        <f t="shared" ca="1" si="0"/>
        <v>100</v>
      </c>
      <c r="J8" s="35">
        <v>1</v>
      </c>
      <c r="K8" s="4">
        <v>200</v>
      </c>
      <c r="L8">
        <f t="shared" si="1"/>
        <v>1.25</v>
      </c>
    </row>
    <row r="9" spans="1:12" x14ac:dyDescent="0.25">
      <c r="A9">
        <v>5</v>
      </c>
      <c r="B9" s="23" t="s">
        <v>50</v>
      </c>
      <c r="C9" s="38">
        <f>1/80</f>
        <v>1.2500000000000001E-2</v>
      </c>
      <c r="D9" s="29">
        <v>6.3</v>
      </c>
      <c r="E9" s="24">
        <v>100</v>
      </c>
      <c r="F9" s="3">
        <f t="shared" si="2"/>
        <v>2</v>
      </c>
      <c r="G9" s="21">
        <f t="shared" si="3"/>
        <v>3.9657842846620874</v>
      </c>
      <c r="H9" s="4">
        <f t="shared" ca="1" si="0"/>
        <v>100</v>
      </c>
      <c r="J9" s="35">
        <v>1.3</v>
      </c>
      <c r="K9" s="4">
        <v>250</v>
      </c>
      <c r="L9">
        <f t="shared" si="1"/>
        <v>1.28</v>
      </c>
    </row>
    <row r="10" spans="1:12" x14ac:dyDescent="0.25">
      <c r="A10">
        <v>6</v>
      </c>
      <c r="B10" s="23" t="s">
        <v>51</v>
      </c>
      <c r="C10" s="38">
        <f>1/40</f>
        <v>2.5000000000000001E-2</v>
      </c>
      <c r="D10" s="29">
        <v>6.3</v>
      </c>
      <c r="E10" s="24">
        <v>100</v>
      </c>
      <c r="F10" s="3">
        <f t="shared" si="2"/>
        <v>2</v>
      </c>
      <c r="G10" s="21">
        <f t="shared" si="3"/>
        <v>4.9657842846620879</v>
      </c>
      <c r="H10" s="4">
        <f t="shared" ca="1" si="0"/>
        <v>100</v>
      </c>
      <c r="J10" s="35">
        <v>1.6666666000000001</v>
      </c>
      <c r="K10" s="4">
        <v>320</v>
      </c>
      <c r="L10">
        <f t="shared" si="1"/>
        <v>1.25</v>
      </c>
    </row>
    <row r="11" spans="1:12" x14ac:dyDescent="0.25">
      <c r="A11">
        <v>7</v>
      </c>
      <c r="B11" s="23" t="s">
        <v>52</v>
      </c>
      <c r="C11" s="38">
        <f>1/20</f>
        <v>0.05</v>
      </c>
      <c r="D11" s="29">
        <v>6.3</v>
      </c>
      <c r="E11" s="24">
        <v>100</v>
      </c>
      <c r="F11" s="3">
        <f t="shared" si="2"/>
        <v>2</v>
      </c>
      <c r="G11" s="21">
        <f t="shared" si="3"/>
        <v>5.9657842846620879</v>
      </c>
      <c r="H11" s="4">
        <f t="shared" ca="1" si="0"/>
        <v>100</v>
      </c>
      <c r="J11" s="35">
        <v>2</v>
      </c>
      <c r="K11" s="4">
        <v>400</v>
      </c>
      <c r="L11">
        <f t="shared" si="1"/>
        <v>1.25</v>
      </c>
    </row>
    <row r="12" spans="1:12" x14ac:dyDescent="0.25">
      <c r="A12">
        <v>8</v>
      </c>
      <c r="B12" s="23" t="s">
        <v>53</v>
      </c>
      <c r="C12" s="38">
        <f>1/10</f>
        <v>0.1</v>
      </c>
      <c r="D12" s="29">
        <v>6.3</v>
      </c>
      <c r="E12" s="24">
        <v>100</v>
      </c>
      <c r="F12" s="3">
        <f t="shared" si="2"/>
        <v>2</v>
      </c>
      <c r="G12" s="21">
        <f t="shared" si="3"/>
        <v>6.9657842846620879</v>
      </c>
      <c r="H12" s="4">
        <f t="shared" ca="1" si="0"/>
        <v>100</v>
      </c>
      <c r="J12" s="35">
        <v>2.3332999999999999</v>
      </c>
      <c r="K12" s="4">
        <v>500</v>
      </c>
      <c r="L12">
        <f t="shared" si="1"/>
        <v>1.28</v>
      </c>
    </row>
    <row r="13" spans="1:12" x14ac:dyDescent="0.25">
      <c r="A13">
        <v>9</v>
      </c>
      <c r="B13" s="23" t="s">
        <v>54</v>
      </c>
      <c r="C13" s="38">
        <f>1/5</f>
        <v>0.2</v>
      </c>
      <c r="D13" s="29">
        <v>6.3</v>
      </c>
      <c r="E13" s="24">
        <v>100</v>
      </c>
      <c r="F13" s="3">
        <f t="shared" si="2"/>
        <v>2</v>
      </c>
      <c r="G13" s="21">
        <f t="shared" si="3"/>
        <v>7.965784284662087</v>
      </c>
      <c r="H13" s="4">
        <f t="shared" ca="1" si="0"/>
        <v>100</v>
      </c>
      <c r="J13" s="35">
        <v>2.6666660000000002</v>
      </c>
      <c r="K13" s="4">
        <v>640</v>
      </c>
      <c r="L13">
        <f t="shared" si="1"/>
        <v>1.25</v>
      </c>
    </row>
    <row r="14" spans="1:12" x14ac:dyDescent="0.25">
      <c r="A14">
        <v>10</v>
      </c>
      <c r="B14" s="23" t="s">
        <v>55</v>
      </c>
      <c r="C14" s="38">
        <f>1/2</f>
        <v>0.5</v>
      </c>
      <c r="D14" s="29">
        <v>6.3</v>
      </c>
      <c r="E14" s="24">
        <v>100</v>
      </c>
      <c r="F14" s="3">
        <f t="shared" si="2"/>
        <v>2.5</v>
      </c>
      <c r="G14" s="21">
        <f t="shared" si="3"/>
        <v>9.2877123795494487</v>
      </c>
      <c r="H14" s="4">
        <f t="shared" ca="1" si="0"/>
        <v>100</v>
      </c>
      <c r="J14" s="35">
        <v>3</v>
      </c>
      <c r="K14" s="4">
        <v>800</v>
      </c>
      <c r="L14">
        <f t="shared" si="1"/>
        <v>1.25</v>
      </c>
    </row>
    <row r="15" spans="1:12" x14ac:dyDescent="0.25">
      <c r="A15">
        <v>11</v>
      </c>
      <c r="B15" s="23" t="s">
        <v>56</v>
      </c>
      <c r="C15" s="38">
        <f>1/1.3</f>
        <v>0.76923076923076916</v>
      </c>
      <c r="D15" s="29">
        <v>6.3</v>
      </c>
      <c r="E15" s="24">
        <v>100</v>
      </c>
      <c r="F15" s="3">
        <f t="shared" si="2"/>
        <v>1.5384615384615383</v>
      </c>
      <c r="G15" s="21">
        <f t="shared" si="3"/>
        <v>9.9092007562957196</v>
      </c>
      <c r="H15" s="4">
        <f t="shared" ca="1" si="0"/>
        <v>100</v>
      </c>
      <c r="J15" s="35">
        <v>3.3333330000000001</v>
      </c>
      <c r="K15" s="4">
        <v>1000</v>
      </c>
      <c r="L15">
        <f t="shared" si="1"/>
        <v>1.25</v>
      </c>
    </row>
    <row r="16" spans="1:12" x14ac:dyDescent="0.25">
      <c r="A16">
        <v>12</v>
      </c>
      <c r="B16" s="23" t="s">
        <v>57</v>
      </c>
      <c r="C16" s="38">
        <f>1.6</f>
        <v>1.6</v>
      </c>
      <c r="D16" s="29">
        <v>6.3</v>
      </c>
      <c r="E16" s="24">
        <v>100</v>
      </c>
      <c r="F16" s="3">
        <f t="shared" si="2"/>
        <v>2.0800000000000005</v>
      </c>
      <c r="G16" s="21">
        <f t="shared" si="3"/>
        <v>10.965784284662087</v>
      </c>
      <c r="H16" s="4">
        <f t="shared" ca="1" si="0"/>
        <v>100</v>
      </c>
      <c r="J16" s="35">
        <v>3.6666666600000002</v>
      </c>
      <c r="K16" s="4">
        <v>1250</v>
      </c>
      <c r="L16">
        <f t="shared" si="1"/>
        <v>1.28</v>
      </c>
    </row>
    <row r="17" spans="1:11" x14ac:dyDescent="0.25">
      <c r="A17">
        <v>13</v>
      </c>
      <c r="B17" s="23" t="s">
        <v>58</v>
      </c>
      <c r="C17" s="38">
        <v>4</v>
      </c>
      <c r="D17" s="29">
        <v>6.3</v>
      </c>
      <c r="E17" s="24">
        <v>100</v>
      </c>
      <c r="F17" s="3">
        <f t="shared" si="2"/>
        <v>2.5</v>
      </c>
      <c r="G17" s="21">
        <f t="shared" si="3"/>
        <v>12.287712379549451</v>
      </c>
      <c r="H17" s="4">
        <f t="shared" ca="1" si="0"/>
        <v>100</v>
      </c>
      <c r="J17" s="35">
        <v>4</v>
      </c>
      <c r="K17" s="4">
        <v>1600</v>
      </c>
    </row>
    <row r="18" spans="1:11" x14ac:dyDescent="0.25">
      <c r="A18">
        <v>14</v>
      </c>
      <c r="B18" s="23" t="s">
        <v>58</v>
      </c>
      <c r="C18" s="38">
        <f>4</f>
        <v>4</v>
      </c>
      <c r="D18" s="29">
        <v>6.3</v>
      </c>
      <c r="E18" s="24">
        <v>200</v>
      </c>
      <c r="F18" s="3">
        <f t="shared" si="2"/>
        <v>2</v>
      </c>
      <c r="G18" s="21">
        <f t="shared" si="3"/>
        <v>13.287712379549451</v>
      </c>
      <c r="H18" s="4">
        <f t="shared" ca="1" si="0"/>
        <v>200</v>
      </c>
      <c r="J18" s="35">
        <v>4.3333329999999997</v>
      </c>
      <c r="K18" s="4">
        <v>2000</v>
      </c>
    </row>
    <row r="19" spans="1:11" x14ac:dyDescent="0.25">
      <c r="G19" s="21"/>
      <c r="J19" s="35">
        <v>4.6666600000000003</v>
      </c>
      <c r="K19" s="4">
        <v>2500</v>
      </c>
    </row>
    <row r="20" spans="1:11" x14ac:dyDescent="0.25">
      <c r="A20" t="s">
        <v>122</v>
      </c>
      <c r="G20" s="21"/>
      <c r="J20" s="35">
        <v>5</v>
      </c>
      <c r="K20" s="4">
        <v>3200</v>
      </c>
    </row>
    <row r="21" spans="1:11" x14ac:dyDescent="0.25">
      <c r="A21">
        <v>15</v>
      </c>
      <c r="B21" s="23" t="s">
        <v>121</v>
      </c>
      <c r="C21" s="24">
        <v>2</v>
      </c>
      <c r="D21" s="29">
        <v>6.3</v>
      </c>
      <c r="E21" s="24">
        <v>200</v>
      </c>
      <c r="G21" s="21">
        <f t="shared" ref="G21:G23" si="4">LOG(C21/C$5*D21*D21/D$5/D$5*E21/E$5,2)</f>
        <v>12.287712379549451</v>
      </c>
      <c r="H21" s="4">
        <f ca="1">MIN(OFFSET($K$5,MATCH(E21,K$5:K$21)-1+MATCH($H$3,J$5:J$21)-1,0),$K$3)</f>
        <v>200</v>
      </c>
      <c r="J21" s="35">
        <v>5.3333000000000004</v>
      </c>
      <c r="K21" s="4">
        <v>4000</v>
      </c>
    </row>
    <row r="22" spans="1:11" x14ac:dyDescent="0.25">
      <c r="A22">
        <v>16</v>
      </c>
      <c r="B22" s="23" t="s">
        <v>57</v>
      </c>
      <c r="C22" s="24">
        <v>1.6</v>
      </c>
      <c r="D22" s="29">
        <v>6.3</v>
      </c>
      <c r="E22" s="24">
        <v>200</v>
      </c>
      <c r="G22" s="21">
        <f t="shared" si="4"/>
        <v>11.965784284662087</v>
      </c>
      <c r="H22" s="4">
        <f ca="1">MIN(OFFSET($K$5,MATCH(E22,K$5:K$21)-1+MATCH($H$3,J$5:J$21)-1,0),$K$3)</f>
        <v>200</v>
      </c>
    </row>
    <row r="23" spans="1:11" x14ac:dyDescent="0.25">
      <c r="A23">
        <v>17</v>
      </c>
      <c r="B23" s="23" t="s">
        <v>58</v>
      </c>
      <c r="C23" s="24">
        <v>4</v>
      </c>
      <c r="D23" s="29">
        <v>6.3</v>
      </c>
      <c r="E23" s="24">
        <v>400</v>
      </c>
      <c r="G23" s="21">
        <f t="shared" si="4"/>
        <v>14.287712379549449</v>
      </c>
      <c r="H23" s="4">
        <f ca="1">MIN(OFFSET($K$5,MATCH(E23,K$5:K$21)-1+MATCH($H$3,J$5:J$21)-1,0),$K$3)</f>
        <v>400</v>
      </c>
    </row>
    <row r="24" spans="1:11" x14ac:dyDescent="0.25">
      <c r="B24"/>
    </row>
    <row r="25" spans="1:11" x14ac:dyDescent="0.25">
      <c r="B25" s="17" t="s">
        <v>37</v>
      </c>
      <c r="C25" s="17" t="s">
        <v>59</v>
      </c>
    </row>
    <row r="26" spans="1:11" x14ac:dyDescent="0.25">
      <c r="A26" t="s">
        <v>60</v>
      </c>
      <c r="B26">
        <v>12</v>
      </c>
      <c r="C26" s="10">
        <f>SUM(C6:C17)</f>
        <v>7.2676682692307697</v>
      </c>
    </row>
    <row r="27" spans="1:11" x14ac:dyDescent="0.25">
      <c r="A27" t="s">
        <v>61</v>
      </c>
      <c r="B27">
        <v>13</v>
      </c>
      <c r="C27" s="10">
        <f>SUM(C5:C17)</f>
        <v>7.2684682692307696</v>
      </c>
    </row>
  </sheetData>
  <pageMargins left="0.7" right="0.7" top="0.75" bottom="0.75" header="0.3" footer="0.3"/>
  <ignoredErrors>
    <ignoredError sqref="B9:B10" twoDigitTextYear="1"/>
    <ignoredError sqref="B16:B17 B18 B21:B23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5:M28"/>
  <sheetViews>
    <sheetView tabSelected="1" workbookViewId="0">
      <selection activeCell="A5" sqref="A5"/>
    </sheetView>
  </sheetViews>
  <sheetFormatPr defaultRowHeight="15" x14ac:dyDescent="0.25"/>
  <sheetData>
    <row r="5" spans="1:13" x14ac:dyDescent="0.25">
      <c r="A5" t="s">
        <v>152</v>
      </c>
    </row>
    <row r="6" spans="1:13" x14ac:dyDescent="0.25">
      <c r="A6" t="s">
        <v>148</v>
      </c>
    </row>
    <row r="7" spans="1:13" x14ac:dyDescent="0.25">
      <c r="A7" t="s">
        <v>21</v>
      </c>
      <c r="B7" t="s">
        <v>74</v>
      </c>
      <c r="C7" t="str">
        <f>IF(Calcs!L132&lt;0, "-", "+")</f>
        <v>-</v>
      </c>
      <c r="D7" t="str">
        <f>_xlfn.CONCAT("00:",TEXT(ABS(Calcs!L132),"00.0"))</f>
        <v>00:31.0</v>
      </c>
      <c r="E7" t="str">
        <f t="shared" ref="E7:E25" si="0">Cam2ID</f>
        <v>Wide1</v>
      </c>
      <c r="F7" s="1" t="str">
        <f>Calcs!F132</f>
        <v>1/640</v>
      </c>
      <c r="G7" s="2">
        <f>Calcs!H132</f>
        <v>11</v>
      </c>
      <c r="H7" s="2">
        <f>Calcs!I132</f>
        <v>200</v>
      </c>
      <c r="I7" s="32" t="str">
        <f>TEXT(Calcs!$K$126,"0.000")</f>
        <v>0.000</v>
      </c>
      <c r="J7" t="s">
        <v>16</v>
      </c>
      <c r="K7" t="s">
        <v>17</v>
      </c>
      <c r="L7" s="4" t="str">
        <f>Calcs!J132</f>
        <v>Y</v>
      </c>
      <c r="M7" t="str">
        <f>Calcs!M132</f>
        <v>Wide totality: 1/640</v>
      </c>
    </row>
    <row r="8" spans="1:13" x14ac:dyDescent="0.25">
      <c r="A8" t="s">
        <v>21</v>
      </c>
      <c r="B8" t="s">
        <v>74</v>
      </c>
      <c r="C8" t="str">
        <f>IF(Calcs!L133&lt;0, "-", "+")</f>
        <v>-</v>
      </c>
      <c r="D8" t="str">
        <f>_xlfn.CONCAT("00:",TEXT(ABS(Calcs!L133),"00.0"))</f>
        <v>00:61.0</v>
      </c>
      <c r="E8" t="str">
        <f t="shared" si="0"/>
        <v>Wide1</v>
      </c>
      <c r="F8" s="1" t="str">
        <f>Calcs!F133</f>
        <v>1/320</v>
      </c>
      <c r="G8" s="2">
        <f>Calcs!H133</f>
        <v>11</v>
      </c>
      <c r="H8" s="2">
        <f>Calcs!I133</f>
        <v>200</v>
      </c>
      <c r="I8" s="32" t="str">
        <f>TEXT(Calcs!$K$126,"0.000")</f>
        <v>0.000</v>
      </c>
      <c r="J8" t="s">
        <v>16</v>
      </c>
      <c r="K8" t="s">
        <v>17</v>
      </c>
      <c r="L8" s="4" t="str">
        <f>Calcs!J133</f>
        <v>Y</v>
      </c>
      <c r="M8" t="str">
        <f>Calcs!M133</f>
        <v>Wide totality: 1/320</v>
      </c>
    </row>
    <row r="9" spans="1:13" x14ac:dyDescent="0.25">
      <c r="A9" t="s">
        <v>21</v>
      </c>
      <c r="B9" t="s">
        <v>74</v>
      </c>
      <c r="C9" t="str">
        <f>IF(Calcs!L134&lt;0, "-", "+")</f>
        <v>-</v>
      </c>
      <c r="D9" t="str">
        <f>_xlfn.CONCAT("00:",TEXT(ABS(Calcs!L134),"00.0"))</f>
        <v>00:69.0</v>
      </c>
      <c r="E9" t="str">
        <f t="shared" si="0"/>
        <v>Wide1</v>
      </c>
      <c r="F9" s="1" t="str">
        <f>Calcs!F134</f>
        <v>1/80</v>
      </c>
      <c r="G9" s="2">
        <f>Calcs!H134</f>
        <v>11</v>
      </c>
      <c r="H9" s="2">
        <f>Calcs!I134</f>
        <v>200</v>
      </c>
      <c r="I9" s="32" t="str">
        <f>TEXT(Calcs!$K$126,"0.000")</f>
        <v>0.000</v>
      </c>
      <c r="J9" t="s">
        <v>16</v>
      </c>
      <c r="K9" t="s">
        <v>17</v>
      </c>
      <c r="L9" s="4" t="str">
        <f>Calcs!J134</f>
        <v>Y</v>
      </c>
      <c r="M9" t="str">
        <f>Calcs!M134</f>
        <v>Wide totality: 1/80</v>
      </c>
    </row>
    <row r="10" spans="1:13" x14ac:dyDescent="0.25">
      <c r="A10" t="s">
        <v>21</v>
      </c>
      <c r="B10" t="s">
        <v>74</v>
      </c>
      <c r="C10" t="str">
        <f>IF(Calcs!L135&lt;0, "-", "+")</f>
        <v>-</v>
      </c>
      <c r="D10" t="str">
        <f>_xlfn.CONCAT("00:",TEXT(ABS(Calcs!L135),"00.0"))</f>
        <v>00:72.0</v>
      </c>
      <c r="E10" t="str">
        <f t="shared" si="0"/>
        <v>Wide1</v>
      </c>
      <c r="F10" s="1" t="str">
        <f>Calcs!F135</f>
        <v>1/20</v>
      </c>
      <c r="G10" s="2">
        <f>Calcs!H135</f>
        <v>11</v>
      </c>
      <c r="H10" s="2">
        <f>Calcs!I135</f>
        <v>200</v>
      </c>
      <c r="I10" s="32" t="str">
        <f>TEXT(Calcs!$K$126,"0.000")</f>
        <v>0.000</v>
      </c>
      <c r="J10" t="s">
        <v>16</v>
      </c>
      <c r="K10" t="s">
        <v>17</v>
      </c>
      <c r="L10" s="4" t="str">
        <f>Calcs!J135</f>
        <v>Y</v>
      </c>
      <c r="M10" t="str">
        <f>Calcs!M135</f>
        <v>Wide totality: 1/20</v>
      </c>
    </row>
    <row r="11" spans="1:13" x14ac:dyDescent="0.25">
      <c r="A11" t="s">
        <v>21</v>
      </c>
      <c r="B11" t="s">
        <v>74</v>
      </c>
      <c r="C11" t="str">
        <f>IF(Calcs!L136&lt;0, "-", "+")</f>
        <v>-</v>
      </c>
      <c r="D11" t="str">
        <f>_xlfn.CONCAT("00:",TEXT(ABS(Calcs!L136),"00.0"))</f>
        <v>00:72.0</v>
      </c>
      <c r="E11" t="str">
        <f t="shared" si="0"/>
        <v>Wide1</v>
      </c>
      <c r="F11" s="1" t="str">
        <f>Calcs!F136</f>
        <v>1/5</v>
      </c>
      <c r="G11" s="2">
        <f>Calcs!H136</f>
        <v>11</v>
      </c>
      <c r="H11" s="2">
        <f>Calcs!I136</f>
        <v>200</v>
      </c>
      <c r="I11" s="32" t="str">
        <f>TEXT(Calcs!$K$126,"0.000")</f>
        <v>0.000</v>
      </c>
      <c r="J11" t="s">
        <v>16</v>
      </c>
      <c r="K11" t="s">
        <v>17</v>
      </c>
      <c r="L11" s="4" t="str">
        <f>Calcs!J136</f>
        <v>Y</v>
      </c>
      <c r="M11" t="str">
        <f>Calcs!M136</f>
        <v>Wide totality: 1/5</v>
      </c>
    </row>
    <row r="12" spans="1:13" x14ac:dyDescent="0.25">
      <c r="A12" t="s">
        <v>21</v>
      </c>
      <c r="B12" t="s">
        <v>74</v>
      </c>
      <c r="C12" t="str">
        <f>IF(Calcs!L137&lt;0, "-", "+")</f>
        <v>-</v>
      </c>
      <c r="D12" t="str">
        <f>_xlfn.CONCAT("00:",TEXT(ABS(Calcs!L137),"00.0"))</f>
        <v>00:71.8</v>
      </c>
      <c r="E12" t="str">
        <f t="shared" si="0"/>
        <v>Wide1</v>
      </c>
      <c r="F12" s="1" t="str">
        <f>Calcs!F137</f>
        <v>1/1.3</v>
      </c>
      <c r="G12" s="2">
        <f>Calcs!H137</f>
        <v>11</v>
      </c>
      <c r="H12" s="2">
        <f>Calcs!I137</f>
        <v>200</v>
      </c>
      <c r="I12" s="32" t="str">
        <f>TEXT(Calcs!$K$126,"0.000")</f>
        <v>0.000</v>
      </c>
      <c r="J12" t="s">
        <v>16</v>
      </c>
      <c r="K12" t="s">
        <v>17</v>
      </c>
      <c r="L12" s="4" t="str">
        <f>Calcs!J137</f>
        <v>Y</v>
      </c>
      <c r="M12" t="str">
        <f>Calcs!M137</f>
        <v>Wide totality: 1/1.3</v>
      </c>
    </row>
    <row r="13" spans="1:13" x14ac:dyDescent="0.25">
      <c r="A13" t="s">
        <v>21</v>
      </c>
      <c r="B13" t="s">
        <v>74</v>
      </c>
      <c r="C13" t="str">
        <f>IF(Calcs!L138&lt;0, "-", "+")</f>
        <v>-</v>
      </c>
      <c r="D13" t="str">
        <f>_xlfn.CONCAT("00:",TEXT(ABS(Calcs!L138),"00.0"))</f>
        <v>00:71.0</v>
      </c>
      <c r="E13" t="str">
        <f t="shared" si="0"/>
        <v>Wide1</v>
      </c>
      <c r="F13" s="1" t="str">
        <f>Calcs!F138</f>
        <v>1</v>
      </c>
      <c r="G13" s="2">
        <f>Calcs!H138</f>
        <v>11</v>
      </c>
      <c r="H13" s="2">
        <f>Calcs!I138</f>
        <v>200</v>
      </c>
      <c r="I13" s="32" t="str">
        <f>TEXT(Calcs!$K$126,"0.000")</f>
        <v>0.000</v>
      </c>
      <c r="J13" t="s">
        <v>16</v>
      </c>
      <c r="K13" t="s">
        <v>17</v>
      </c>
      <c r="L13" s="4" t="str">
        <f>Calcs!J138</f>
        <v>Y</v>
      </c>
      <c r="M13" t="str">
        <f>Calcs!M138</f>
        <v>Wide totality: 1</v>
      </c>
    </row>
    <row r="14" spans="1:13" x14ac:dyDescent="0.25">
      <c r="A14" t="s">
        <v>21</v>
      </c>
      <c r="B14" t="s">
        <v>74</v>
      </c>
      <c r="C14" t="str">
        <f>IF(Calcs!L139&lt;0, "-", "+")</f>
        <v>-</v>
      </c>
      <c r="D14" t="str">
        <f>_xlfn.CONCAT("00:",TEXT(ABS(Calcs!L139),"00.0"))</f>
        <v>00:70.1</v>
      </c>
      <c r="E14" t="str">
        <f t="shared" si="0"/>
        <v>Wide1</v>
      </c>
      <c r="F14" s="1" t="str">
        <f>Calcs!F139</f>
        <v>3</v>
      </c>
      <c r="G14" s="2">
        <f>Calcs!H139</f>
        <v>11</v>
      </c>
      <c r="H14" s="2">
        <f>Calcs!I139</f>
        <v>200</v>
      </c>
      <c r="I14" s="32" t="str">
        <f>TEXT(Calcs!$K$126,"0.000")</f>
        <v>0.000</v>
      </c>
      <c r="J14" t="s">
        <v>16</v>
      </c>
      <c r="K14" t="s">
        <v>17</v>
      </c>
      <c r="L14" s="4" t="str">
        <f>Calcs!J139</f>
        <v>Y</v>
      </c>
      <c r="M14" t="str">
        <f>Calcs!M139</f>
        <v>Wide totality: 3</v>
      </c>
    </row>
    <row r="15" spans="1:13" x14ac:dyDescent="0.25">
      <c r="A15" t="s">
        <v>21</v>
      </c>
      <c r="B15" t="s">
        <v>74</v>
      </c>
      <c r="C15" t="str">
        <f>IF(Calcs!L140&lt;0, "-", "+")</f>
        <v>-</v>
      </c>
      <c r="D15" t="str">
        <f>_xlfn.CONCAT("00:",TEXT(ABS(Calcs!L140),"00.0"))</f>
        <v>00:67.3</v>
      </c>
      <c r="E15" t="str">
        <f t="shared" si="0"/>
        <v>Wide1</v>
      </c>
      <c r="F15" s="1" t="str">
        <f>Calcs!F140</f>
        <v>8</v>
      </c>
      <c r="G15" s="2">
        <f>Calcs!H140</f>
        <v>11</v>
      </c>
      <c r="H15" s="2">
        <f>Calcs!I140</f>
        <v>200</v>
      </c>
      <c r="I15" s="32" t="str">
        <f>TEXT(Calcs!$K$126,"0.000")</f>
        <v>0.000</v>
      </c>
      <c r="J15" t="s">
        <v>16</v>
      </c>
      <c r="K15" t="s">
        <v>17</v>
      </c>
      <c r="L15" s="4" t="str">
        <f>Calcs!J140</f>
        <v>Y</v>
      </c>
      <c r="M15" t="str">
        <f>Calcs!M140</f>
        <v>Wide totality: 8</v>
      </c>
    </row>
    <row r="16" spans="1:13" x14ac:dyDescent="0.25">
      <c r="A16" t="s">
        <v>21</v>
      </c>
      <c r="B16" t="s">
        <v>74</v>
      </c>
      <c r="C16" t="str">
        <f>IF(Calcs!L141&lt;0, "-", "+")</f>
        <v>-</v>
      </c>
      <c r="D16" t="str">
        <f>_xlfn.CONCAT("00:",TEXT(ABS(Calcs!L141),"00.0"))</f>
        <v>00:60.0</v>
      </c>
      <c r="E16" t="str">
        <f t="shared" si="0"/>
        <v>Wide1</v>
      </c>
      <c r="F16" s="1" t="str">
        <f>Calcs!F141</f>
        <v>30</v>
      </c>
      <c r="G16" s="2">
        <f>Calcs!H141</f>
        <v>11</v>
      </c>
      <c r="H16" s="2">
        <f>Calcs!I141</f>
        <v>100</v>
      </c>
      <c r="I16" s="32" t="str">
        <f>TEXT(Calcs!$K$126,"0.000")</f>
        <v>0.000</v>
      </c>
      <c r="J16" t="s">
        <v>16</v>
      </c>
      <c r="K16" t="s">
        <v>17</v>
      </c>
      <c r="L16" s="4" t="str">
        <f>Calcs!J141</f>
        <v>Y</v>
      </c>
      <c r="M16" t="str">
        <f>Calcs!M141</f>
        <v>Wide totality: 30</v>
      </c>
    </row>
    <row r="17" spans="1:13" x14ac:dyDescent="0.25">
      <c r="A17" t="s">
        <v>21</v>
      </c>
      <c r="B17" t="s">
        <v>74</v>
      </c>
      <c r="C17" t="str">
        <f>IF(Calcs!L142&lt;0, "-", "+")</f>
        <v>+</v>
      </c>
      <c r="D17" t="str">
        <f>_xlfn.CONCAT("00:",TEXT(ABS(Calcs!L142),"00.0"))</f>
        <v>00:63.0</v>
      </c>
      <c r="E17" t="str">
        <f t="shared" si="0"/>
        <v>Wide1</v>
      </c>
      <c r="F17" s="1" t="str">
        <f>Calcs!F142</f>
        <v>8</v>
      </c>
      <c r="G17" s="2">
        <f>Calcs!H142</f>
        <v>11</v>
      </c>
      <c r="H17" s="2">
        <f>Calcs!I142</f>
        <v>200</v>
      </c>
      <c r="I17" s="32" t="str">
        <f>TEXT(Calcs!$K$126,"0.000")</f>
        <v>0.000</v>
      </c>
      <c r="J17" t="s">
        <v>16</v>
      </c>
      <c r="K17" t="s">
        <v>17</v>
      </c>
      <c r="L17" s="4" t="str">
        <f>Calcs!J142</f>
        <v>Y</v>
      </c>
      <c r="M17" t="str">
        <f>Calcs!M142</f>
        <v>Wide totality: 8</v>
      </c>
    </row>
    <row r="18" spans="1:13" x14ac:dyDescent="0.25">
      <c r="A18" t="s">
        <v>21</v>
      </c>
      <c r="B18" t="s">
        <v>74</v>
      </c>
      <c r="C18" t="str">
        <f>IF(Calcs!L143&lt;0, "-", "+")</f>
        <v>+</v>
      </c>
      <c r="D18" t="str">
        <f>_xlfn.CONCAT("00:",TEXT(ABS(Calcs!L143),"00.0"))</f>
        <v>00:73.0</v>
      </c>
      <c r="E18" t="str">
        <f t="shared" si="0"/>
        <v>Wide1</v>
      </c>
      <c r="F18" s="1" t="str">
        <f>Calcs!F143</f>
        <v>3</v>
      </c>
      <c r="G18" s="2">
        <f>Calcs!H143</f>
        <v>11</v>
      </c>
      <c r="H18" s="2">
        <f>Calcs!I143</f>
        <v>200</v>
      </c>
      <c r="I18" s="32" t="str">
        <f>TEXT(Calcs!$K$126,"0.000")</f>
        <v>0.000</v>
      </c>
      <c r="J18" t="s">
        <v>16</v>
      </c>
      <c r="K18" t="s">
        <v>17</v>
      </c>
      <c r="L18" s="4" t="str">
        <f>Calcs!J143</f>
        <v>Y</v>
      </c>
      <c r="M18" t="str">
        <f>Calcs!M143</f>
        <v>Wide totality: 3</v>
      </c>
    </row>
    <row r="19" spans="1:13" x14ac:dyDescent="0.25">
      <c r="A19" t="s">
        <v>21</v>
      </c>
      <c r="B19" t="s">
        <v>74</v>
      </c>
      <c r="C19" t="str">
        <f>IF(Calcs!L144&lt;0, "-", "+")</f>
        <v>+</v>
      </c>
      <c r="D19" t="str">
        <f>_xlfn.CONCAT("00:",TEXT(ABS(Calcs!L144),"00.0"))</f>
        <v>00:78.0</v>
      </c>
      <c r="E19" t="str">
        <f t="shared" si="0"/>
        <v>Wide1</v>
      </c>
      <c r="F19" s="1" t="str">
        <f>Calcs!F144</f>
        <v>1/640</v>
      </c>
      <c r="G19" s="2">
        <f>Calcs!H144</f>
        <v>11</v>
      </c>
      <c r="H19" s="2">
        <f>Calcs!I144</f>
        <v>200</v>
      </c>
      <c r="I19" s="32" t="str">
        <f>TEXT(Calcs!$K$126,"0.000")</f>
        <v>0.000</v>
      </c>
      <c r="J19" t="s">
        <v>16</v>
      </c>
      <c r="K19" t="s">
        <v>17</v>
      </c>
      <c r="L19" s="4" t="str">
        <f>Calcs!J144</f>
        <v>Y</v>
      </c>
      <c r="M19" t="str">
        <f>Calcs!M144</f>
        <v>Wide totality: 1/640</v>
      </c>
    </row>
    <row r="20" spans="1:13" x14ac:dyDescent="0.25">
      <c r="A20" t="s">
        <v>21</v>
      </c>
      <c r="B20" t="s">
        <v>74</v>
      </c>
      <c r="C20" t="str">
        <f>IF(Calcs!L145&lt;0, "-", "+")</f>
        <v>+</v>
      </c>
      <c r="D20" t="str">
        <f>_xlfn.CONCAT("00:",TEXT(ABS(Calcs!L145),"00.0"))</f>
        <v>00:80.0</v>
      </c>
      <c r="E20" t="str">
        <f t="shared" si="0"/>
        <v>Wide1</v>
      </c>
      <c r="F20" s="1" t="str">
        <f>Calcs!F145</f>
        <v>1/320</v>
      </c>
      <c r="G20" s="2">
        <f>Calcs!H145</f>
        <v>11</v>
      </c>
      <c r="H20" s="2">
        <f>Calcs!I145</f>
        <v>200</v>
      </c>
      <c r="I20" s="32" t="str">
        <f>TEXT(Calcs!$K$126,"0.000")</f>
        <v>0.000</v>
      </c>
      <c r="J20" t="s">
        <v>16</v>
      </c>
      <c r="K20" t="s">
        <v>17</v>
      </c>
      <c r="L20" s="4" t="str">
        <f>Calcs!J145</f>
        <v>Y</v>
      </c>
      <c r="M20" t="str">
        <f>Calcs!M145</f>
        <v>Wide totality: 1/320</v>
      </c>
    </row>
    <row r="21" spans="1:13" x14ac:dyDescent="0.25">
      <c r="A21" t="s">
        <v>21</v>
      </c>
      <c r="B21" t="s">
        <v>74</v>
      </c>
      <c r="C21" t="str">
        <f>IF(Calcs!L146&lt;0, "-", "+")</f>
        <v>+</v>
      </c>
      <c r="D21" t="str">
        <f>_xlfn.CONCAT("00:",TEXT(ABS(Calcs!L146),"00.0"))</f>
        <v>00:82.0</v>
      </c>
      <c r="E21" t="str">
        <f t="shared" si="0"/>
        <v>Wide1</v>
      </c>
      <c r="F21" s="1" t="str">
        <f>Calcs!F146</f>
        <v>1/80</v>
      </c>
      <c r="G21" s="2">
        <f>Calcs!H146</f>
        <v>11</v>
      </c>
      <c r="H21" s="2">
        <f>Calcs!I146</f>
        <v>200</v>
      </c>
      <c r="I21" s="32" t="str">
        <f>TEXT(Calcs!$K$126,"0.000")</f>
        <v>0.000</v>
      </c>
      <c r="J21" t="s">
        <v>16</v>
      </c>
      <c r="K21" t="s">
        <v>17</v>
      </c>
      <c r="L21" s="4" t="str">
        <f>Calcs!J146</f>
        <v>Y</v>
      </c>
      <c r="M21" t="str">
        <f>Calcs!M146</f>
        <v>Wide totality: 1/80</v>
      </c>
    </row>
    <row r="22" spans="1:13" x14ac:dyDescent="0.25">
      <c r="A22" t="s">
        <v>21</v>
      </c>
      <c r="B22" t="s">
        <v>74</v>
      </c>
      <c r="C22" t="str">
        <f>IF(Calcs!L147&lt;0, "-", "+")</f>
        <v>+</v>
      </c>
      <c r="D22" t="str">
        <f>_xlfn.CONCAT("00:",TEXT(ABS(Calcs!L147),"00.0"))</f>
        <v>00:84.1</v>
      </c>
      <c r="E22" t="str">
        <f t="shared" si="0"/>
        <v>Wide1</v>
      </c>
      <c r="F22" s="1" t="str">
        <f>Calcs!F147</f>
        <v>1/20</v>
      </c>
      <c r="G22" s="2">
        <f>Calcs!H147</f>
        <v>11</v>
      </c>
      <c r="H22" s="2">
        <f>Calcs!I147</f>
        <v>200</v>
      </c>
      <c r="I22" s="32" t="str">
        <f>TEXT(Calcs!$K$126,"0.000")</f>
        <v>0.000</v>
      </c>
      <c r="J22" t="s">
        <v>16</v>
      </c>
      <c r="K22" t="s">
        <v>17</v>
      </c>
      <c r="L22" s="4" t="str">
        <f>Calcs!J147</f>
        <v>Y</v>
      </c>
      <c r="M22" t="str">
        <f>Calcs!M147</f>
        <v>Wide totality: 1/20</v>
      </c>
    </row>
    <row r="23" spans="1:13" x14ac:dyDescent="0.25">
      <c r="A23" t="s">
        <v>21</v>
      </c>
      <c r="B23" t="s">
        <v>74</v>
      </c>
      <c r="C23" t="str">
        <f>IF(Calcs!L148&lt;0, "-", "+")</f>
        <v>+</v>
      </c>
      <c r="D23" t="str">
        <f>_xlfn.CONCAT("00:",TEXT(ABS(Calcs!L148),"00.0"))</f>
        <v>00:86.1</v>
      </c>
      <c r="E23" t="str">
        <f t="shared" si="0"/>
        <v>Wide1</v>
      </c>
      <c r="F23" s="1" t="str">
        <f>Calcs!F148</f>
        <v>1/5</v>
      </c>
      <c r="G23" s="2">
        <f>Calcs!H148</f>
        <v>11</v>
      </c>
      <c r="H23" s="2">
        <f>Calcs!I148</f>
        <v>200</v>
      </c>
      <c r="I23" s="32" t="str">
        <f>TEXT(Calcs!$K$126,"0.000")</f>
        <v>0.000</v>
      </c>
      <c r="J23" t="s">
        <v>16</v>
      </c>
      <c r="K23" t="s">
        <v>17</v>
      </c>
      <c r="L23" s="4" t="str">
        <f>Calcs!J148</f>
        <v>Y</v>
      </c>
      <c r="M23" t="str">
        <f>Calcs!M148</f>
        <v>Wide totality: 1/5</v>
      </c>
    </row>
    <row r="24" spans="1:13" x14ac:dyDescent="0.25">
      <c r="A24" t="s">
        <v>21</v>
      </c>
      <c r="B24" t="s">
        <v>74</v>
      </c>
      <c r="C24" t="str">
        <f>IF(Calcs!L149&lt;0, "-", "+")</f>
        <v>+</v>
      </c>
      <c r="D24" t="str">
        <f>_xlfn.CONCAT("00:",TEXT(ABS(Calcs!L149),"00.0"))</f>
        <v>00:88.3</v>
      </c>
      <c r="E24" t="str">
        <f t="shared" si="0"/>
        <v>Wide1</v>
      </c>
      <c r="F24" s="1" t="str">
        <f>Calcs!F149</f>
        <v>1/1.3</v>
      </c>
      <c r="G24" s="2">
        <f>Calcs!H149</f>
        <v>11</v>
      </c>
      <c r="H24" s="2">
        <f>Calcs!I149</f>
        <v>200</v>
      </c>
      <c r="I24" s="32" t="str">
        <f>TEXT(Calcs!$K$126,"0.000")</f>
        <v>0.000</v>
      </c>
      <c r="J24" t="s">
        <v>16</v>
      </c>
      <c r="K24" t="s">
        <v>17</v>
      </c>
      <c r="L24" s="4" t="str">
        <f>Calcs!J149</f>
        <v>Y</v>
      </c>
      <c r="M24" t="str">
        <f>Calcs!M149</f>
        <v>Wide totality: 1/1.3</v>
      </c>
    </row>
    <row r="25" spans="1:13" x14ac:dyDescent="0.25">
      <c r="A25" t="s">
        <v>21</v>
      </c>
      <c r="B25" t="s">
        <v>74</v>
      </c>
      <c r="C25" t="str">
        <f>IF(Calcs!L150&lt;0, "-", "+")</f>
        <v>+</v>
      </c>
      <c r="D25" t="str">
        <f>_xlfn.CONCAT("00:",TEXT(ABS(Calcs!L150),"00.0"))</f>
        <v>00:91.1</v>
      </c>
      <c r="E25" t="str">
        <f t="shared" si="0"/>
        <v>Wide1</v>
      </c>
      <c r="F25" s="1" t="str">
        <f>Calcs!F150</f>
        <v>1</v>
      </c>
      <c r="G25" s="2">
        <f>Calcs!H150</f>
        <v>11</v>
      </c>
      <c r="H25" s="2">
        <f>Calcs!I150</f>
        <v>200</v>
      </c>
      <c r="I25" s="32" t="str">
        <f>TEXT(Calcs!$K$126,"0.000")</f>
        <v>0.000</v>
      </c>
      <c r="J25" t="s">
        <v>16</v>
      </c>
      <c r="K25" t="s">
        <v>17</v>
      </c>
      <c r="L25" s="4" t="str">
        <f>Calcs!J150</f>
        <v>N</v>
      </c>
      <c r="M25" t="str">
        <f>Calcs!M150</f>
        <v>Wide totality: 1</v>
      </c>
    </row>
    <row r="26" spans="1:13" x14ac:dyDescent="0.25">
      <c r="A26" t="s">
        <v>149</v>
      </c>
    </row>
    <row r="27" spans="1:13" x14ac:dyDescent="0.25">
      <c r="A27" t="s">
        <v>101</v>
      </c>
    </row>
    <row r="28" spans="1:13" x14ac:dyDescent="0.25">
      <c r="A28" t="s">
        <v>101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Export">
              <controlPr defaultSize="0" print="0" autoFill="0" autoPict="0" macro="[0]!Sheet4.ExportWideAsCSV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Calcs</vt:lpstr>
      <vt:lpstr>Script-Zoom</vt:lpstr>
      <vt:lpstr>Exposure list</vt:lpstr>
      <vt:lpstr>Script-Wide</vt:lpstr>
      <vt:lpstr>CAM1ID</vt:lpstr>
      <vt:lpstr>Cam2ID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Prabhu</dc:creator>
  <cp:lastModifiedBy>Vishal Prabhu</cp:lastModifiedBy>
  <dcterms:created xsi:type="dcterms:W3CDTF">2017-08-12T04:08:33Z</dcterms:created>
  <dcterms:modified xsi:type="dcterms:W3CDTF">2017-09-10T14:33:30Z</dcterms:modified>
</cp:coreProperties>
</file>